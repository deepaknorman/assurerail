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on Schedule" sheetId="2" state="visible" r:id="rId2"/>
    <sheet xmlns:r="http://schemas.openxmlformats.org/officeDocument/2006/relationships" name="55Cr Cohort" sheetId="3" state="visible" r:id="rId3"/>
    <sheet xmlns:r="http://schemas.openxmlformats.org/officeDocument/2006/relationships" name="Cohort Scale" sheetId="4" state="visible" r:id="rId4"/>
    <sheet xmlns:r="http://schemas.openxmlformats.org/officeDocument/2006/relationships" name="Funding Comparison" sheetId="5" state="visible" r:id="rId5"/>
  </sheets>
  <definedNames>
    <definedName name="_xlnm._FilterDatabase" localSheetId="1" hidden="1">'Execution Schedule'!$A$8:$K$25</definedName>
    <definedName name="_xlnm._FilterDatabase" localSheetId="3" hidden="1">'Cohort Scale'!$A$9:$K$20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747A"/>
      <sz val="10"/>
    </font>
    <font>
      <b val="1"/>
      <color rgb="00FFFFFF"/>
    </font>
    <font>
      <b val="1"/>
      <color rgb="00143642"/>
    </font>
    <font>
      <b val="1"/>
      <color rgb="00143642"/>
      <sz val="13"/>
    </font>
  </fonts>
  <fills count="6">
    <fill>
      <patternFill/>
    </fill>
    <fill>
      <patternFill patternType="gray125"/>
    </fill>
    <fill>
      <patternFill patternType="solid">
        <fgColor rgb="00143642"/>
      </patternFill>
    </fill>
    <fill>
      <patternFill patternType="solid">
        <fgColor rgb="0016705F"/>
      </patternFill>
    </fill>
    <fill>
      <patternFill patternType="solid">
        <fgColor rgb="00F5F7F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BD5D1"/>
      </left>
      <right style="thin">
        <color rgb="00CBD5D1"/>
      </right>
      <top style="thin">
        <color rgb="00CBD5D1"/>
      </top>
      <bottom style="thin">
        <color rgb="00CBD5D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4" fillId="0" borderId="0" pivotButton="0" quotePrefix="0" xfId="0"/>
    <xf numFmtId="0" fontId="0" fillId="5" borderId="1" pivotButton="0" quotePrefix="0" xfId="0"/>
    <xf numFmtId="2" fontId="0" fillId="0" borderId="1" applyAlignment="1" pivotButton="0" quotePrefix="0" xfId="0">
      <alignment vertical="center" wrapText="1"/>
    </xf>
    <xf numFmtId="2" fontId="0" fillId="4" borderId="1" applyAlignment="1" pivotButton="0" quotePrefix="0" xfId="0">
      <alignment vertical="center" wrapText="1"/>
    </xf>
    <xf numFmtId="0" fontId="5" fillId="0" borderId="0" pivotButton="0" quotePrefix="0" xfId="0"/>
    <xf numFmtId="2" fontId="0" fillId="5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0" fontId="0" fillId="5" borderId="0" pivotButton="0" quotePrefix="0" xfId="0"/>
    <xf numFmtId="10" fontId="0" fillId="5" borderId="0" pivotButton="0" quotePrefix="0" xfId="0"/>
    <xf numFmtId="1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Execution fee by settled consideration</a:t>
            </a:r>
          </a:p>
        </rich>
      </tx>
    </title>
    <plotArea>
      <lineChart>
        <grouping val="standard"/>
        <ser>
          <idx val="0"/>
          <order val="0"/>
          <tx>
            <strRef>
              <f>'Execution Schedule'!E8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'Execution Schedule'!$A$9:$A$25</f>
            </numRef>
          </cat>
          <val>
            <numRef>
              <f>'Execution Schedule'!$E$9:$E$25</f>
            </numRef>
          </val>
        </ser>
        <ser>
          <idx val="1"/>
          <order val="1"/>
          <tx>
            <strRef>
              <f>'Execution Schedule'!F8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'Execution Schedule'!$A$9:$A$25</f>
            </numRef>
          </cat>
          <val>
            <numRef>
              <f>'Execution Schedule'!$F$9:$F$25</f>
            </numRef>
          </val>
        </ser>
        <ser>
          <idx val="2"/>
          <order val="2"/>
          <tx>
            <strRef>
              <f>'Execution Schedule'!G8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'Execution Schedule'!$A$9:$A$25</f>
            </numRef>
          </cat>
          <val>
            <numRef>
              <f>'Execution Schedule'!$G$9:$G$25</f>
            </numRef>
          </val>
        </ser>
        <ser>
          <idx val="3"/>
          <order val="3"/>
          <tx>
            <strRef>
              <f>'Execution Schedule'!H8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'Execution Schedule'!$A$9:$A$25</f>
            </numRef>
          </cat>
          <val>
            <numRef>
              <f>'Execution Schedule'!$H$9:$H$25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Consideration 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Fee (₹ lakh)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B3" authorId="0" shapeId="0">
      <text>
        <t>Candidate breakpoint. Consideration up to this amount receives the first-tier rate.</t>
      </text>
    </comment>
    <comment ref="B6" authorId="0" shapeId="0">
      <text>
        <t>Applied only when the calculated fee is lower. At 40 bps, it binds below ₹12.5 crore.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0" customHeight="1">
      <c r="A1" s="1" t="inlineStr">
        <is>
          <t>AssureRail DA 40/30-bps scenario model</t>
        </is>
      </c>
    </row>
    <row r="2" ht="30" customHeight="1">
      <c r="A2" s="2" t="inlineStr">
        <is>
          <t>Decision model only — no production pricing, customer quote or accepted contract is changed by this workbook.</t>
        </is>
      </c>
    </row>
    <row r="4" ht="34" customHeight="1">
      <c r="A4" s="3" t="inlineStr">
        <is>
          <t>Item</t>
        </is>
      </c>
      <c r="B4" s="3" t="inlineStr">
        <is>
          <t>Model treatment</t>
        </is>
      </c>
    </row>
    <row r="5">
      <c r="A5" s="4" t="inlineStr">
        <is>
          <t>Purpose</t>
        </is>
      </c>
      <c r="B5" s="5" t="inlineStr">
        <is>
          <t>Compare the candidate marginal schedule with the current schedule and the earlier four-band proposal; model five-seller cohort economics.</t>
        </is>
      </c>
    </row>
    <row r="6">
      <c r="A6" s="6" t="inlineStr">
        <is>
          <t>Candidate execution schedule</t>
        </is>
      </c>
      <c r="B6" s="7" t="inlineStr">
        <is>
          <t>40 bps on the first ₹25 crore of actual purchase consideration settled; 30 bps on the excess; ₹5 lakh proposed minimum.</t>
        </is>
      </c>
    </row>
    <row r="7">
      <c r="A7" s="4" t="inlineStr">
        <is>
          <t>Why marginal</t>
        </is>
      </c>
      <c r="B7" s="5" t="inlineStr">
        <is>
          <t>A flat 30-bps rate on the whole amount above ₹25 crore creates a downward fee cliff. The marginal formula remains continuous.</t>
        </is>
      </c>
    </row>
    <row r="8">
      <c r="A8" s="6" t="inlineStr">
        <is>
          <t>Fixed stages</t>
        </is>
      </c>
      <c r="B8" s="7" t="inlineStr">
        <is>
          <t>₹500 per admitted loan with ₹8 lakh minimum per seller on the execution-committed route; fixed-stage inputs remain editable in the cohort sheets.</t>
        </is>
      </c>
    </row>
    <row r="9">
      <c r="A9" s="4" t="inlineStr">
        <is>
          <t>External costs</t>
        </is>
      </c>
      <c r="B9" s="5" t="inlineStr">
        <is>
          <t>Planning assumptions only. Supplier quotes, legal applicability, payer allocation, tax and unused-reserve release must be agreed.</t>
        </is>
      </c>
    </row>
    <row r="10">
      <c r="A10" s="6" t="inlineStr">
        <is>
          <t>Market-size statement</t>
        </is>
      </c>
      <c r="B10" s="7" t="inlineStr">
        <is>
          <t>The ₹150–200 crore conventional-event threshold is a founder market observation to validate before using as a public industry claim.</t>
        </is>
      </c>
    </row>
    <row r="11">
      <c r="A11" s="4" t="inlineStr">
        <is>
          <t>Units</t>
        </is>
      </c>
      <c r="B11" s="5" t="inlineStr">
        <is>
          <t>Transaction sizes are ₹ crore. Fees and costs are ₹ lakh. Percentages are calculated against actual settled consideration.</t>
        </is>
      </c>
    </row>
    <row r="12">
      <c r="A12" s="6" t="inlineStr">
        <is>
          <t>Decision status</t>
        </is>
      </c>
      <c r="B12" s="7" t="inlineStr">
        <is>
          <t>Model before implementation. Existing rate-card versions, accepted quotes and contracts remain unchanged.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Width="1"/>
  <headerFooter>
    <oddHeader/>
    <oddFooter>&amp;CAssureRail — decision model — 16 September 2026&amp;RPage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8" customWidth="1" min="4" max="4"/>
    <col width="23" customWidth="1" min="5" max="5"/>
    <col width="17" customWidth="1" min="6" max="6"/>
    <col width="24" customWidth="1" min="7" max="7"/>
    <col width="25" customWidth="1" min="8" max="8"/>
    <col width="20" customWidth="1" min="9" max="9"/>
    <col width="26" customWidth="1" min="10" max="10"/>
    <col width="22" customWidth="1" min="11" max="11"/>
  </cols>
  <sheetData>
    <row r="1" ht="30" customHeight="1">
      <c r="A1" s="1" t="inlineStr">
        <is>
          <t>Execution-fee schedule comparison</t>
        </is>
      </c>
    </row>
    <row r="2" ht="30" customHeight="1">
      <c r="A2" s="2" t="inlineStr">
        <is>
          <t>Edit the four yellow input cells. Fee outputs are in ₹ lakh and rates are applied marginally.</t>
        </is>
      </c>
    </row>
    <row r="3">
      <c r="A3" s="8" t="inlineStr">
        <is>
          <t>Tier 1 cap (₹cr)</t>
        </is>
      </c>
      <c r="B3" s="9" t="n">
        <v>25</v>
      </c>
    </row>
    <row r="4">
      <c r="A4" s="8" t="inlineStr">
        <is>
          <t>Tier 1 rate (bps)</t>
        </is>
      </c>
      <c r="B4" s="9" t="n">
        <v>40</v>
      </c>
    </row>
    <row r="5">
      <c r="A5" s="8" t="inlineStr">
        <is>
          <t>Excess rate (bps)</t>
        </is>
      </c>
      <c r="B5" s="9" t="n">
        <v>30</v>
      </c>
    </row>
    <row r="6">
      <c r="A6" s="8" t="inlineStr">
        <is>
          <t>Minimum fee (₹L)</t>
        </is>
      </c>
      <c r="B6" s="9" t="n">
        <v>5</v>
      </c>
    </row>
    <row r="8" ht="34" customHeight="1">
      <c r="A8" s="3" t="inlineStr">
        <is>
          <t>Consideration (₹cr)</t>
        </is>
      </c>
      <c r="B8" s="3" t="inlineStr">
        <is>
          <t>First tier (₹cr)</t>
        </is>
      </c>
      <c r="C8" s="3" t="inlineStr">
        <is>
          <t>Excess (₹cr)</t>
        </is>
      </c>
      <c r="D8" s="3" t="inlineStr">
        <is>
          <t>Calculated fee (₹L)</t>
        </is>
      </c>
      <c r="E8" s="3" t="inlineStr">
        <is>
          <t>Candidate fee after minimum (₹L)</t>
        </is>
      </c>
      <c r="F8" s="3" t="inlineStr">
        <is>
          <t>Effective rate (bps)</t>
        </is>
      </c>
      <c r="G8" s="3" t="inlineStr">
        <is>
          <t>Current 50/40/35/30 fee (₹L)</t>
        </is>
      </c>
      <c r="H8" s="3" t="inlineStr">
        <is>
          <t>Earlier 40/30/25/20 fee (₹L)</t>
        </is>
      </c>
      <c r="I8" s="3" t="inlineStr">
        <is>
          <t>Saving vs current (₹L)</t>
        </is>
      </c>
      <c r="J8" s="3" t="inlineStr">
        <is>
          <t>Candidate less earlier proposal (₹L)</t>
        </is>
      </c>
      <c r="K8" s="3" t="inlineStr">
        <is>
          <t>Rejected flat-rate fee (₹L)</t>
        </is>
      </c>
    </row>
    <row r="9">
      <c r="A9" s="10" t="n">
        <v>5</v>
      </c>
      <c r="B9" s="10">
        <f>MIN(A9,$B$3)</f>
        <v/>
      </c>
      <c r="C9" s="10">
        <f>MAX(A9-$B$3,0)</f>
        <v/>
      </c>
      <c r="D9" s="10">
        <f>B9*$B$4/100+C9*$B$5/100</f>
        <v/>
      </c>
      <c r="E9" s="10">
        <f>MAX(D9,$B$6)</f>
        <v/>
      </c>
      <c r="F9" s="10">
        <f>E9/A9*100</f>
        <v/>
      </c>
      <c r="G9" s="10">
        <f>MAX($B$6,MIN(A9,10)*50/100+MAX(MIN(A9,50)-10,0)*40/100+MAX(MIN(A9,100)-50,0)*35/100+MAX(A9-100,0)*30/100)</f>
        <v/>
      </c>
      <c r="H9" s="10">
        <f>MAX($B$6,MIN(A9,10)*40/100+MAX(MIN(A9,50)-10,0)*30/100+MAX(MIN(A9,100)-50,0)*25/100+MAX(A9-100,0)*20/100)</f>
        <v/>
      </c>
      <c r="I9" s="10">
        <f>G9-E9</f>
        <v/>
      </c>
      <c r="J9" s="10">
        <f>E9-H9</f>
        <v/>
      </c>
      <c r="K9" s="10">
        <f>MAX($B$6,IF(A9&lt;=$B$3,A9*$B$4/100,A9*$B$5/100))</f>
        <v/>
      </c>
    </row>
    <row r="10">
      <c r="A10" s="11" t="n">
        <v>10</v>
      </c>
      <c r="B10" s="11">
        <f>MIN(A10,$B$3)</f>
        <v/>
      </c>
      <c r="C10" s="11">
        <f>MAX(A10-$B$3,0)</f>
        <v/>
      </c>
      <c r="D10" s="11">
        <f>B10*$B$4/100+C10*$B$5/100</f>
        <v/>
      </c>
      <c r="E10" s="11">
        <f>MAX(D10,$B$6)</f>
        <v/>
      </c>
      <c r="F10" s="11">
        <f>E10/A10*100</f>
        <v/>
      </c>
      <c r="G10" s="11">
        <f>MAX($B$6,MIN(A10,10)*50/100+MAX(MIN(A10,50)-10,0)*40/100+MAX(MIN(A10,100)-50,0)*35/100+MAX(A10-100,0)*30/100)</f>
        <v/>
      </c>
      <c r="H10" s="11">
        <f>MAX($B$6,MIN(A10,10)*40/100+MAX(MIN(A10,50)-10,0)*30/100+MAX(MIN(A10,100)-50,0)*25/100+MAX(A10-100,0)*20/100)</f>
        <v/>
      </c>
      <c r="I10" s="11">
        <f>G10-E10</f>
        <v/>
      </c>
      <c r="J10" s="11">
        <f>E10-H10</f>
        <v/>
      </c>
      <c r="K10" s="11">
        <f>MAX($B$6,IF(A10&lt;=$B$3,A10*$B$4/100,A10*$B$5/100))</f>
        <v/>
      </c>
    </row>
    <row r="11">
      <c r="A11" s="10" t="n">
        <v>12.5</v>
      </c>
      <c r="B11" s="10">
        <f>MIN(A11,$B$3)</f>
        <v/>
      </c>
      <c r="C11" s="10">
        <f>MAX(A11-$B$3,0)</f>
        <v/>
      </c>
      <c r="D11" s="10">
        <f>B11*$B$4/100+C11*$B$5/100</f>
        <v/>
      </c>
      <c r="E11" s="10">
        <f>MAX(D11,$B$6)</f>
        <v/>
      </c>
      <c r="F11" s="10">
        <f>E11/A11*100</f>
        <v/>
      </c>
      <c r="G11" s="10">
        <f>MAX($B$6,MIN(A11,10)*50/100+MAX(MIN(A11,50)-10,0)*40/100+MAX(MIN(A11,100)-50,0)*35/100+MAX(A11-100,0)*30/100)</f>
        <v/>
      </c>
      <c r="H11" s="10">
        <f>MAX($B$6,MIN(A11,10)*40/100+MAX(MIN(A11,50)-10,0)*30/100+MAX(MIN(A11,100)-50,0)*25/100+MAX(A11-100,0)*20/100)</f>
        <v/>
      </c>
      <c r="I11" s="10">
        <f>G11-E11</f>
        <v/>
      </c>
      <c r="J11" s="10">
        <f>E11-H11</f>
        <v/>
      </c>
      <c r="K11" s="10">
        <f>MAX($B$6,IF(A11&lt;=$B$3,A11*$B$4/100,A11*$B$5/100))</f>
        <v/>
      </c>
    </row>
    <row r="12">
      <c r="A12" s="11" t="n">
        <v>15</v>
      </c>
      <c r="B12" s="11">
        <f>MIN(A12,$B$3)</f>
        <v/>
      </c>
      <c r="C12" s="11">
        <f>MAX(A12-$B$3,0)</f>
        <v/>
      </c>
      <c r="D12" s="11">
        <f>B12*$B$4/100+C12*$B$5/100</f>
        <v/>
      </c>
      <c r="E12" s="11">
        <f>MAX(D12,$B$6)</f>
        <v/>
      </c>
      <c r="F12" s="11">
        <f>E12/A12*100</f>
        <v/>
      </c>
      <c r="G12" s="11">
        <f>MAX($B$6,MIN(A12,10)*50/100+MAX(MIN(A12,50)-10,0)*40/100+MAX(MIN(A12,100)-50,0)*35/100+MAX(A12-100,0)*30/100)</f>
        <v/>
      </c>
      <c r="H12" s="11">
        <f>MAX($B$6,MIN(A12,10)*40/100+MAX(MIN(A12,50)-10,0)*30/100+MAX(MIN(A12,100)-50,0)*25/100+MAX(A12-100,0)*20/100)</f>
        <v/>
      </c>
      <c r="I12" s="11">
        <f>G12-E12</f>
        <v/>
      </c>
      <c r="J12" s="11">
        <f>E12-H12</f>
        <v/>
      </c>
      <c r="K12" s="11">
        <f>MAX($B$6,IF(A12&lt;=$B$3,A12*$B$4/100,A12*$B$5/100))</f>
        <v/>
      </c>
    </row>
    <row r="13">
      <c r="A13" s="10" t="n">
        <v>20</v>
      </c>
      <c r="B13" s="10">
        <f>MIN(A13,$B$3)</f>
        <v/>
      </c>
      <c r="C13" s="10">
        <f>MAX(A13-$B$3,0)</f>
        <v/>
      </c>
      <c r="D13" s="10">
        <f>B13*$B$4/100+C13*$B$5/100</f>
        <v/>
      </c>
      <c r="E13" s="10">
        <f>MAX(D13,$B$6)</f>
        <v/>
      </c>
      <c r="F13" s="10">
        <f>E13/A13*100</f>
        <v/>
      </c>
      <c r="G13" s="10">
        <f>MAX($B$6,MIN(A13,10)*50/100+MAX(MIN(A13,50)-10,0)*40/100+MAX(MIN(A13,100)-50,0)*35/100+MAX(A13-100,0)*30/100)</f>
        <v/>
      </c>
      <c r="H13" s="10">
        <f>MAX($B$6,MIN(A13,10)*40/100+MAX(MIN(A13,50)-10,0)*30/100+MAX(MIN(A13,100)-50,0)*25/100+MAX(A13-100,0)*20/100)</f>
        <v/>
      </c>
      <c r="I13" s="10">
        <f>G13-E13</f>
        <v/>
      </c>
      <c r="J13" s="10">
        <f>E13-H13</f>
        <v/>
      </c>
      <c r="K13" s="10">
        <f>MAX($B$6,IF(A13&lt;=$B$3,A13*$B$4/100,A13*$B$5/100))</f>
        <v/>
      </c>
    </row>
    <row r="14">
      <c r="A14" s="11" t="n">
        <v>24.99</v>
      </c>
      <c r="B14" s="11">
        <f>MIN(A14,$B$3)</f>
        <v/>
      </c>
      <c r="C14" s="11">
        <f>MAX(A14-$B$3,0)</f>
        <v/>
      </c>
      <c r="D14" s="11">
        <f>B14*$B$4/100+C14*$B$5/100</f>
        <v/>
      </c>
      <c r="E14" s="11">
        <f>MAX(D14,$B$6)</f>
        <v/>
      </c>
      <c r="F14" s="11">
        <f>E14/A14*100</f>
        <v/>
      </c>
      <c r="G14" s="11">
        <f>MAX($B$6,MIN(A14,10)*50/100+MAX(MIN(A14,50)-10,0)*40/100+MAX(MIN(A14,100)-50,0)*35/100+MAX(A14-100,0)*30/100)</f>
        <v/>
      </c>
      <c r="H14" s="11">
        <f>MAX($B$6,MIN(A14,10)*40/100+MAX(MIN(A14,50)-10,0)*30/100+MAX(MIN(A14,100)-50,0)*25/100+MAX(A14-100,0)*20/100)</f>
        <v/>
      </c>
      <c r="I14" s="11">
        <f>G14-E14</f>
        <v/>
      </c>
      <c r="J14" s="11">
        <f>E14-H14</f>
        <v/>
      </c>
      <c r="K14" s="11">
        <f>MAX($B$6,IF(A14&lt;=$B$3,A14*$B$4/100,A14*$B$5/100))</f>
        <v/>
      </c>
    </row>
    <row r="15">
      <c r="A15" s="10" t="n">
        <v>25</v>
      </c>
      <c r="B15" s="10">
        <f>MIN(A15,$B$3)</f>
        <v/>
      </c>
      <c r="C15" s="10">
        <f>MAX(A15-$B$3,0)</f>
        <v/>
      </c>
      <c r="D15" s="10">
        <f>B15*$B$4/100+C15*$B$5/100</f>
        <v/>
      </c>
      <c r="E15" s="10">
        <f>MAX(D15,$B$6)</f>
        <v/>
      </c>
      <c r="F15" s="10">
        <f>E15/A15*100</f>
        <v/>
      </c>
      <c r="G15" s="10">
        <f>MAX($B$6,MIN(A15,10)*50/100+MAX(MIN(A15,50)-10,0)*40/100+MAX(MIN(A15,100)-50,0)*35/100+MAX(A15-100,0)*30/100)</f>
        <v/>
      </c>
      <c r="H15" s="10">
        <f>MAX($B$6,MIN(A15,10)*40/100+MAX(MIN(A15,50)-10,0)*30/100+MAX(MIN(A15,100)-50,0)*25/100+MAX(A15-100,0)*20/100)</f>
        <v/>
      </c>
      <c r="I15" s="10">
        <f>G15-E15</f>
        <v/>
      </c>
      <c r="J15" s="10">
        <f>E15-H15</f>
        <v/>
      </c>
      <c r="K15" s="10">
        <f>MAX($B$6,IF(A15&lt;=$B$3,A15*$B$4/100,A15*$B$5/100))</f>
        <v/>
      </c>
    </row>
    <row r="16">
      <c r="A16" s="11" t="n">
        <v>25.01</v>
      </c>
      <c r="B16" s="11">
        <f>MIN(A16,$B$3)</f>
        <v/>
      </c>
      <c r="C16" s="11">
        <f>MAX(A16-$B$3,0)</f>
        <v/>
      </c>
      <c r="D16" s="11">
        <f>B16*$B$4/100+C16*$B$5/100</f>
        <v/>
      </c>
      <c r="E16" s="11">
        <f>MAX(D16,$B$6)</f>
        <v/>
      </c>
      <c r="F16" s="11">
        <f>E16/A16*100</f>
        <v/>
      </c>
      <c r="G16" s="11">
        <f>MAX($B$6,MIN(A16,10)*50/100+MAX(MIN(A16,50)-10,0)*40/100+MAX(MIN(A16,100)-50,0)*35/100+MAX(A16-100,0)*30/100)</f>
        <v/>
      </c>
      <c r="H16" s="11">
        <f>MAX($B$6,MIN(A16,10)*40/100+MAX(MIN(A16,50)-10,0)*30/100+MAX(MIN(A16,100)-50,0)*25/100+MAX(A16-100,0)*20/100)</f>
        <v/>
      </c>
      <c r="I16" s="11">
        <f>G16-E16</f>
        <v/>
      </c>
      <c r="J16" s="11">
        <f>E16-H16</f>
        <v/>
      </c>
      <c r="K16" s="11">
        <f>MAX($B$6,IF(A16&lt;=$B$3,A16*$B$4/100,A16*$B$5/100))</f>
        <v/>
      </c>
    </row>
    <row r="17">
      <c r="A17" s="10" t="n">
        <v>30</v>
      </c>
      <c r="B17" s="10">
        <f>MIN(A17,$B$3)</f>
        <v/>
      </c>
      <c r="C17" s="10">
        <f>MAX(A17-$B$3,0)</f>
        <v/>
      </c>
      <c r="D17" s="10">
        <f>B17*$B$4/100+C17*$B$5/100</f>
        <v/>
      </c>
      <c r="E17" s="10">
        <f>MAX(D17,$B$6)</f>
        <v/>
      </c>
      <c r="F17" s="10">
        <f>E17/A17*100</f>
        <v/>
      </c>
      <c r="G17" s="10">
        <f>MAX($B$6,MIN(A17,10)*50/100+MAX(MIN(A17,50)-10,0)*40/100+MAX(MIN(A17,100)-50,0)*35/100+MAX(A17-100,0)*30/100)</f>
        <v/>
      </c>
      <c r="H17" s="10">
        <f>MAX($B$6,MIN(A17,10)*40/100+MAX(MIN(A17,50)-10,0)*30/100+MAX(MIN(A17,100)-50,0)*25/100+MAX(A17-100,0)*20/100)</f>
        <v/>
      </c>
      <c r="I17" s="10">
        <f>G17-E17</f>
        <v/>
      </c>
      <c r="J17" s="10">
        <f>E17-H17</f>
        <v/>
      </c>
      <c r="K17" s="10">
        <f>MAX($B$6,IF(A17&lt;=$B$3,A17*$B$4/100,A17*$B$5/100))</f>
        <v/>
      </c>
    </row>
    <row r="18">
      <c r="A18" s="11" t="n">
        <v>50</v>
      </c>
      <c r="B18" s="11">
        <f>MIN(A18,$B$3)</f>
        <v/>
      </c>
      <c r="C18" s="11">
        <f>MAX(A18-$B$3,0)</f>
        <v/>
      </c>
      <c r="D18" s="11">
        <f>B18*$B$4/100+C18*$B$5/100</f>
        <v/>
      </c>
      <c r="E18" s="11">
        <f>MAX(D18,$B$6)</f>
        <v/>
      </c>
      <c r="F18" s="11">
        <f>E18/A18*100</f>
        <v/>
      </c>
      <c r="G18" s="11">
        <f>MAX($B$6,MIN(A18,10)*50/100+MAX(MIN(A18,50)-10,0)*40/100+MAX(MIN(A18,100)-50,0)*35/100+MAX(A18-100,0)*30/100)</f>
        <v/>
      </c>
      <c r="H18" s="11">
        <f>MAX($B$6,MIN(A18,10)*40/100+MAX(MIN(A18,50)-10,0)*30/100+MAX(MIN(A18,100)-50,0)*25/100+MAX(A18-100,0)*20/100)</f>
        <v/>
      </c>
      <c r="I18" s="11">
        <f>G18-E18</f>
        <v/>
      </c>
      <c r="J18" s="11">
        <f>E18-H18</f>
        <v/>
      </c>
      <c r="K18" s="11">
        <f>MAX($B$6,IF(A18&lt;=$B$3,A18*$B$4/100,A18*$B$5/100))</f>
        <v/>
      </c>
    </row>
    <row r="19">
      <c r="A19" s="10" t="n">
        <v>55</v>
      </c>
      <c r="B19" s="10">
        <f>MIN(A19,$B$3)</f>
        <v/>
      </c>
      <c r="C19" s="10">
        <f>MAX(A19-$B$3,0)</f>
        <v/>
      </c>
      <c r="D19" s="10">
        <f>B19*$B$4/100+C19*$B$5/100</f>
        <v/>
      </c>
      <c r="E19" s="10">
        <f>MAX(D19,$B$6)</f>
        <v/>
      </c>
      <c r="F19" s="10">
        <f>E19/A19*100</f>
        <v/>
      </c>
      <c r="G19" s="10">
        <f>MAX($B$6,MIN(A19,10)*50/100+MAX(MIN(A19,50)-10,0)*40/100+MAX(MIN(A19,100)-50,0)*35/100+MAX(A19-100,0)*30/100)</f>
        <v/>
      </c>
      <c r="H19" s="10">
        <f>MAX($B$6,MIN(A19,10)*40/100+MAX(MIN(A19,50)-10,0)*30/100+MAX(MIN(A19,100)-50,0)*25/100+MAX(A19-100,0)*20/100)</f>
        <v/>
      </c>
      <c r="I19" s="10">
        <f>G19-E19</f>
        <v/>
      </c>
      <c r="J19" s="10">
        <f>E19-H19</f>
        <v/>
      </c>
      <c r="K19" s="10">
        <f>MAX($B$6,IF(A19&lt;=$B$3,A19*$B$4/100,A19*$B$5/100))</f>
        <v/>
      </c>
    </row>
    <row r="20">
      <c r="A20" s="11" t="n">
        <v>60</v>
      </c>
      <c r="B20" s="11">
        <f>MIN(A20,$B$3)</f>
        <v/>
      </c>
      <c r="C20" s="11">
        <f>MAX(A20-$B$3,0)</f>
        <v/>
      </c>
      <c r="D20" s="11">
        <f>B20*$B$4/100+C20*$B$5/100</f>
        <v/>
      </c>
      <c r="E20" s="11">
        <f>MAX(D20,$B$6)</f>
        <v/>
      </c>
      <c r="F20" s="11">
        <f>E20/A20*100</f>
        <v/>
      </c>
      <c r="G20" s="11">
        <f>MAX($B$6,MIN(A20,10)*50/100+MAX(MIN(A20,50)-10,0)*40/100+MAX(MIN(A20,100)-50,0)*35/100+MAX(A20-100,0)*30/100)</f>
        <v/>
      </c>
      <c r="H20" s="11">
        <f>MAX($B$6,MIN(A20,10)*40/100+MAX(MIN(A20,50)-10,0)*30/100+MAX(MIN(A20,100)-50,0)*25/100+MAX(A20-100,0)*20/100)</f>
        <v/>
      </c>
      <c r="I20" s="11">
        <f>G20-E20</f>
        <v/>
      </c>
      <c r="J20" s="11">
        <f>E20-H20</f>
        <v/>
      </c>
      <c r="K20" s="11">
        <f>MAX($B$6,IF(A20&lt;=$B$3,A20*$B$4/100,A20*$B$5/100))</f>
        <v/>
      </c>
    </row>
    <row r="21">
      <c r="A21" s="10" t="n">
        <v>75</v>
      </c>
      <c r="B21" s="10">
        <f>MIN(A21,$B$3)</f>
        <v/>
      </c>
      <c r="C21" s="10">
        <f>MAX(A21-$B$3,0)</f>
        <v/>
      </c>
      <c r="D21" s="10">
        <f>B21*$B$4/100+C21*$B$5/100</f>
        <v/>
      </c>
      <c r="E21" s="10">
        <f>MAX(D21,$B$6)</f>
        <v/>
      </c>
      <c r="F21" s="10">
        <f>E21/A21*100</f>
        <v/>
      </c>
      <c r="G21" s="10">
        <f>MAX($B$6,MIN(A21,10)*50/100+MAX(MIN(A21,50)-10,0)*40/100+MAX(MIN(A21,100)-50,0)*35/100+MAX(A21-100,0)*30/100)</f>
        <v/>
      </c>
      <c r="H21" s="10">
        <f>MAX($B$6,MIN(A21,10)*40/100+MAX(MIN(A21,50)-10,0)*30/100+MAX(MIN(A21,100)-50,0)*25/100+MAX(A21-100,0)*20/100)</f>
        <v/>
      </c>
      <c r="I21" s="10">
        <f>G21-E21</f>
        <v/>
      </c>
      <c r="J21" s="10">
        <f>E21-H21</f>
        <v/>
      </c>
      <c r="K21" s="10">
        <f>MAX($B$6,IF(A21&lt;=$B$3,A21*$B$4/100,A21*$B$5/100))</f>
        <v/>
      </c>
    </row>
    <row r="22">
      <c r="A22" s="11" t="n">
        <v>100</v>
      </c>
      <c r="B22" s="11">
        <f>MIN(A22,$B$3)</f>
        <v/>
      </c>
      <c r="C22" s="11">
        <f>MAX(A22-$B$3,0)</f>
        <v/>
      </c>
      <c r="D22" s="11">
        <f>B22*$B$4/100+C22*$B$5/100</f>
        <v/>
      </c>
      <c r="E22" s="11">
        <f>MAX(D22,$B$6)</f>
        <v/>
      </c>
      <c r="F22" s="11">
        <f>E22/A22*100</f>
        <v/>
      </c>
      <c r="G22" s="11">
        <f>MAX($B$6,MIN(A22,10)*50/100+MAX(MIN(A22,50)-10,0)*40/100+MAX(MIN(A22,100)-50,0)*35/100+MAX(A22-100,0)*30/100)</f>
        <v/>
      </c>
      <c r="H22" s="11">
        <f>MAX($B$6,MIN(A22,10)*40/100+MAX(MIN(A22,50)-10,0)*30/100+MAX(MIN(A22,100)-50,0)*25/100+MAX(A22-100,0)*20/100)</f>
        <v/>
      </c>
      <c r="I22" s="11">
        <f>G22-E22</f>
        <v/>
      </c>
      <c r="J22" s="11">
        <f>E22-H22</f>
        <v/>
      </c>
      <c r="K22" s="11">
        <f>MAX($B$6,IF(A22&lt;=$B$3,A22*$B$4/100,A22*$B$5/100))</f>
        <v/>
      </c>
    </row>
    <row r="23">
      <c r="A23" s="10" t="n">
        <v>150</v>
      </c>
      <c r="B23" s="10">
        <f>MIN(A23,$B$3)</f>
        <v/>
      </c>
      <c r="C23" s="10">
        <f>MAX(A23-$B$3,0)</f>
        <v/>
      </c>
      <c r="D23" s="10">
        <f>B23*$B$4/100+C23*$B$5/100</f>
        <v/>
      </c>
      <c r="E23" s="10">
        <f>MAX(D23,$B$6)</f>
        <v/>
      </c>
      <c r="F23" s="10">
        <f>E23/A23*100</f>
        <v/>
      </c>
      <c r="G23" s="10">
        <f>MAX($B$6,MIN(A23,10)*50/100+MAX(MIN(A23,50)-10,0)*40/100+MAX(MIN(A23,100)-50,0)*35/100+MAX(A23-100,0)*30/100)</f>
        <v/>
      </c>
      <c r="H23" s="10">
        <f>MAX($B$6,MIN(A23,10)*40/100+MAX(MIN(A23,50)-10,0)*30/100+MAX(MIN(A23,100)-50,0)*25/100+MAX(A23-100,0)*20/100)</f>
        <v/>
      </c>
      <c r="I23" s="10">
        <f>G23-E23</f>
        <v/>
      </c>
      <c r="J23" s="10">
        <f>E23-H23</f>
        <v/>
      </c>
      <c r="K23" s="10">
        <f>MAX($B$6,IF(A23&lt;=$B$3,A23*$B$4/100,A23*$B$5/100))</f>
        <v/>
      </c>
    </row>
    <row r="24">
      <c r="A24" s="11" t="n">
        <v>200</v>
      </c>
      <c r="B24" s="11">
        <f>MIN(A24,$B$3)</f>
        <v/>
      </c>
      <c r="C24" s="11">
        <f>MAX(A24-$B$3,0)</f>
        <v/>
      </c>
      <c r="D24" s="11">
        <f>B24*$B$4/100+C24*$B$5/100</f>
        <v/>
      </c>
      <c r="E24" s="11">
        <f>MAX(D24,$B$6)</f>
        <v/>
      </c>
      <c r="F24" s="11">
        <f>E24/A24*100</f>
        <v/>
      </c>
      <c r="G24" s="11">
        <f>MAX($B$6,MIN(A24,10)*50/100+MAX(MIN(A24,50)-10,0)*40/100+MAX(MIN(A24,100)-50,0)*35/100+MAX(A24-100,0)*30/100)</f>
        <v/>
      </c>
      <c r="H24" s="11">
        <f>MAX($B$6,MIN(A24,10)*40/100+MAX(MIN(A24,50)-10,0)*30/100+MAX(MIN(A24,100)-50,0)*25/100+MAX(A24-100,0)*20/100)</f>
        <v/>
      </c>
      <c r="I24" s="11">
        <f>G24-E24</f>
        <v/>
      </c>
      <c r="J24" s="11">
        <f>E24-H24</f>
        <v/>
      </c>
      <c r="K24" s="11">
        <f>MAX($B$6,IF(A24&lt;=$B$3,A24*$B$4/100,A24*$B$5/100))</f>
        <v/>
      </c>
    </row>
    <row r="25">
      <c r="A25" s="10" t="n">
        <v>300</v>
      </c>
      <c r="B25" s="10">
        <f>MIN(A25,$B$3)</f>
        <v/>
      </c>
      <c r="C25" s="10">
        <f>MAX(A25-$B$3,0)</f>
        <v/>
      </c>
      <c r="D25" s="10">
        <f>B25*$B$4/100+C25*$B$5/100</f>
        <v/>
      </c>
      <c r="E25" s="10">
        <f>MAX(D25,$B$6)</f>
        <v/>
      </c>
      <c r="F25" s="10">
        <f>E25/A25*100</f>
        <v/>
      </c>
      <c r="G25" s="10">
        <f>MAX($B$6,MIN(A25,10)*50/100+MAX(MIN(A25,50)-10,0)*40/100+MAX(MIN(A25,100)-50,0)*35/100+MAX(A25-100,0)*30/100)</f>
        <v/>
      </c>
      <c r="H25" s="10">
        <f>MAX($B$6,MIN(A25,10)*40/100+MAX(MIN(A25,50)-10,0)*30/100+MAX(MIN(A25,100)-50,0)*25/100+MAX(A25-100,0)*20/100)</f>
        <v/>
      </c>
      <c r="I25" s="10">
        <f>G25-E25</f>
        <v/>
      </c>
      <c r="J25" s="10">
        <f>E25-H25</f>
        <v/>
      </c>
      <c r="K25" s="10">
        <f>MAX($B$6,IF(A25&lt;=$B$3,A25*$B$4/100,A25*$B$5/100))</f>
        <v/>
      </c>
    </row>
  </sheetData>
  <autoFilter ref="A8:K25"/>
  <mergeCells count="2">
    <mergeCell ref="A1:J1"/>
    <mergeCell ref="A2:J2"/>
  </mergeCells>
  <pageMargins left="0.75" right="0.75" top="1" bottom="1" header="0.5" footer="0.5"/>
  <pageSetup orientation="landscape" fitToWidth="1"/>
  <headerFooter>
    <oddHeader/>
    <oddFooter>&amp;CAssureRail — decision model — 16 September 2026&amp;RPage &amp;P of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35" customWidth="1" min="3" max="3"/>
    <col width="3" customWidth="1" min="4" max="4"/>
    <col width="31" customWidth="1" min="5" max="5"/>
    <col width="19" customWidth="1" min="6" max="6"/>
    <col width="20" customWidth="1" min="7" max="7"/>
    <col width="16" customWidth="1" min="8" max="8"/>
    <col width="18" customWidth="1" min="9" max="9"/>
    <col width="18" customWidth="1" min="10" max="10"/>
    <col width="24" customWidth="1" min="11" max="11"/>
    <col width="26" customWidth="1" min="12" max="12"/>
  </cols>
  <sheetData>
    <row r="1" ht="30" customHeight="1">
      <c r="A1" s="1" t="inlineStr">
        <is>
          <t>₹55 crore five-seller cohort</t>
        </is>
      </c>
    </row>
    <row r="2" ht="30" customHeight="1">
      <c r="A2" s="2" t="inlineStr">
        <is>
          <t>Editable operating assumptions and pre-GST Base, Premium and Full economics under the candidate 40/30-bps schedule.</t>
        </is>
      </c>
    </row>
    <row r="3" ht="34" customHeight="1">
      <c r="A3" s="3" t="inlineStr">
        <is>
          <t>Cohort input</t>
        </is>
      </c>
      <c r="B3" s="3" t="inlineStr">
        <is>
          <t>Value</t>
        </is>
      </c>
      <c r="E3" s="12" t="inlineStr">
        <is>
          <t>Configuration comparison</t>
        </is>
      </c>
    </row>
    <row r="4" ht="34" customHeight="1">
      <c r="A4" s="6" t="inlineStr">
        <is>
          <t>Sellers</t>
        </is>
      </c>
      <c r="B4" s="11" t="n">
        <v>5</v>
      </c>
      <c r="E4" s="3" t="inlineStr">
        <is>
          <t>Configuration</t>
        </is>
      </c>
      <c r="F4" s="3" t="inlineStr">
        <is>
          <t>AssureRail fees (₹L)</t>
        </is>
      </c>
      <c r="G4" s="3" t="inlineStr">
        <is>
          <t>External/other (₹L)</t>
        </is>
      </c>
      <c r="H4" s="3" t="inlineStr">
        <is>
          <t>Total (₹L)</t>
        </is>
      </c>
      <c r="I4" s="3" t="inlineStr">
        <is>
          <t>% of consideration</t>
        </is>
      </c>
      <c r="J4" s="3" t="inlineStr">
        <is>
          <t>Per seller (₹L)</t>
        </is>
      </c>
      <c r="K4" s="3" t="inlineStr">
        <is>
          <t>Net before debt release (₹cr)</t>
        </is>
      </c>
      <c r="L4" s="3" t="inlineStr">
        <is>
          <t>Cash after debt release (₹cr)</t>
        </is>
      </c>
    </row>
    <row r="5">
      <c r="A5" s="4" t="inlineStr">
        <is>
          <t>Loans per seller</t>
        </is>
      </c>
      <c r="B5" s="13" t="n">
        <v>825</v>
      </c>
      <c r="E5" s="5" t="inlineStr">
        <is>
          <t>Base</t>
        </is>
      </c>
      <c r="F5" s="10">
        <f>B15</f>
        <v/>
      </c>
      <c r="G5" s="10">
        <f>SUM(B19:B23)</f>
        <v/>
      </c>
      <c r="H5" s="10">
        <f>F5+G5</f>
        <v/>
      </c>
      <c r="I5" s="14">
        <f>H5/(B12*100)</f>
        <v/>
      </c>
      <c r="J5" s="10">
        <f>H5/B4</f>
        <v/>
      </c>
      <c r="K5" s="15">
        <f>B12-H5/100</f>
        <v/>
      </c>
      <c r="L5" s="15">
        <f>K5-B8</f>
        <v/>
      </c>
    </row>
    <row r="6">
      <c r="A6" s="6" t="inlineStr">
        <is>
          <t>Settled consideration per seller (₹cr)</t>
        </is>
      </c>
      <c r="B6" s="11" t="n">
        <v>11</v>
      </c>
      <c r="E6" s="7" t="inlineStr">
        <is>
          <t>Premium before RTO</t>
        </is>
      </c>
      <c r="F6" s="11">
        <f>B15</f>
        <v/>
      </c>
      <c r="G6" s="11">
        <f>SUM(B19:B25)</f>
        <v/>
      </c>
      <c r="H6" s="11">
        <f>F6+G6</f>
        <v/>
      </c>
      <c r="I6" s="16">
        <f>H6/(B12*100)</f>
        <v/>
      </c>
      <c r="J6" s="11">
        <f>H6/B4</f>
        <v/>
      </c>
      <c r="K6" s="17">
        <f>B12-H6/100</f>
        <v/>
      </c>
      <c r="L6" s="17">
        <f>K6-B8</f>
        <v/>
      </c>
    </row>
    <row r="7">
      <c r="A7" s="4" t="inlineStr">
        <is>
          <t>Committed fixed fee per seller (₹L)</t>
        </is>
      </c>
      <c r="B7" s="13" t="n">
        <v>8</v>
      </c>
      <c r="E7" s="5" t="inlineStr">
        <is>
          <t>Premium + one RTO action</t>
        </is>
      </c>
      <c r="F7" s="10">
        <f>B15</f>
        <v/>
      </c>
      <c r="G7" s="10">
        <f>SUM(B19:B26)</f>
        <v/>
      </c>
      <c r="H7" s="10">
        <f>F7+G7</f>
        <v/>
      </c>
      <c r="I7" s="14">
        <f>H7/(B12*100)</f>
        <v/>
      </c>
      <c r="J7" s="10">
        <f>H7/B4</f>
        <v/>
      </c>
      <c r="K7" s="15">
        <f>B12-H7/100</f>
        <v/>
      </c>
      <c r="L7" s="15">
        <f>K7-B8</f>
        <v/>
      </c>
    </row>
    <row r="8">
      <c r="A8" s="6" t="inlineStr">
        <is>
          <t>Existing debt release (₹cr)</t>
        </is>
      </c>
      <c r="B8" s="11" t="n">
        <v>35.75</v>
      </c>
      <c r="E8" s="7" t="inlineStr">
        <is>
          <t>Full — one reporting unit</t>
        </is>
      </c>
      <c r="F8" s="11">
        <f>B15</f>
        <v/>
      </c>
      <c r="G8" s="11">
        <f>SUM(B19:B25)+10.225</f>
        <v/>
      </c>
      <c r="H8" s="11">
        <f>F8+G8</f>
        <v/>
      </c>
      <c r="I8" s="16">
        <f>H8/(B12*100)</f>
        <v/>
      </c>
      <c r="J8" s="11">
        <f>H8/B4</f>
        <v/>
      </c>
      <c r="K8" s="17">
        <f>B12-H8/100</f>
        <v/>
      </c>
      <c r="L8" s="17">
        <f>K8-B8</f>
        <v/>
      </c>
    </row>
    <row r="9">
      <c r="E9" s="5" t="inlineStr">
        <is>
          <t>Full — five seller sub-pools</t>
        </is>
      </c>
      <c r="F9" s="10">
        <f>B15</f>
        <v/>
      </c>
      <c r="G9" s="10">
        <f>SUM(B19:B25)+25.225</f>
        <v/>
      </c>
      <c r="H9" s="10">
        <f>F9+G9</f>
        <v/>
      </c>
      <c r="I9" s="14">
        <f>H9/(B12*100)</f>
        <v/>
      </c>
      <c r="J9" s="10">
        <f>H9/B4</f>
        <v/>
      </c>
      <c r="K9" s="15">
        <f>B12-H9/100</f>
        <v/>
      </c>
      <c r="L9" s="15">
        <f>K9-B8</f>
        <v/>
      </c>
    </row>
    <row r="10">
      <c r="A10" s="12" t="inlineStr">
        <is>
          <t>Derived cohort values</t>
        </is>
      </c>
      <c r="E10" s="7" t="inlineStr">
        <is>
          <t>1.5% all-inclusive comparator</t>
        </is>
      </c>
      <c r="F10" s="11" t="inlineStr">
        <is>
          <t>0</t>
        </is>
      </c>
      <c r="G10" s="11">
        <f>B12*1.5</f>
        <v/>
      </c>
      <c r="H10" s="11">
        <f>F10+G10</f>
        <v/>
      </c>
      <c r="I10" s="16">
        <f>H10/(B12*100)</f>
        <v/>
      </c>
      <c r="J10" s="11">
        <f>H10/B4</f>
        <v/>
      </c>
      <c r="K10" s="17">
        <f>B12-H10/100</f>
        <v/>
      </c>
      <c r="L10" s="17">
        <f>K10-B8</f>
        <v/>
      </c>
    </row>
    <row r="11">
      <c r="A11" s="5" t="inlineStr">
        <is>
          <t>Total admitted loans</t>
        </is>
      </c>
      <c r="B11" s="10">
        <f>B4*B5</f>
        <v/>
      </c>
    </row>
    <row r="12">
      <c r="A12" s="7" t="inlineStr">
        <is>
          <t>Total settled consideration (₹cr)</t>
        </is>
      </c>
      <c r="B12" s="11">
        <f>B4*B6</f>
        <v/>
      </c>
    </row>
    <row r="13">
      <c r="A13" s="5" t="inlineStr">
        <is>
          <t>Total fixed-stage fees (₹L)</t>
        </is>
      </c>
      <c r="B13" s="10">
        <f>B4*B7</f>
        <v/>
      </c>
    </row>
    <row r="14">
      <c r="A14" s="7" t="inlineStr">
        <is>
          <t>Candidate execution fee (₹L)</t>
        </is>
      </c>
      <c r="B14" s="11">
        <f>MAX(5,MIN(B12,25)*40/100+MAX(B12-25,0)*30/100)</f>
        <v/>
      </c>
    </row>
    <row r="15">
      <c r="A15" s="5" t="inlineStr">
        <is>
          <t>Total AssureRail fees (₹L)</t>
        </is>
      </c>
      <c r="B15" s="10">
        <f>B13+B14</f>
        <v/>
      </c>
    </row>
    <row r="17">
      <c r="A17" s="12" t="inlineStr">
        <is>
          <t>External cost assumptions</t>
        </is>
      </c>
    </row>
    <row r="18" ht="34" customHeight="1">
      <c r="A18" s="3" t="inlineStr">
        <is>
          <t>External item</t>
        </is>
      </c>
      <c r="B18" s="3" t="inlineStr">
        <is>
          <t>Base amount (₹L)</t>
        </is>
      </c>
      <c r="C18" s="3" t="inlineStr">
        <is>
          <t>Treatment</t>
        </is>
      </c>
    </row>
    <row r="19">
      <c r="A19" s="5" t="inlineStr">
        <is>
          <t>Fresh bureau pulls</t>
        </is>
      </c>
      <c r="B19" s="10" t="n">
        <v>1.65</v>
      </c>
      <c r="C19" s="5" t="inlineStr">
        <is>
          <t>If authorised and required</t>
        </is>
      </c>
    </row>
    <row r="20">
      <c r="A20" s="7" t="inlineStr">
        <is>
          <t>Escrow, bank and VAN</t>
        </is>
      </c>
      <c r="B20" s="11" t="n">
        <v>3</v>
      </c>
      <c r="C20" s="7" t="inlineStr">
        <is>
          <t>Accepted provider quote</t>
        </is>
      </c>
    </row>
    <row r="21">
      <c r="A21" s="5" t="inlineStr">
        <is>
          <t>Transaction counsel and seller schedules</t>
        </is>
      </c>
      <c r="B21" s="10" t="n">
        <v>10.5</v>
      </c>
      <c r="C21" s="5" t="inlineStr">
        <is>
          <t>Common scope plus five schedules</t>
        </is>
      </c>
    </row>
    <row r="22">
      <c r="A22" s="7" t="inlineStr">
        <is>
          <t>ROC filing and support</t>
        </is>
      </c>
      <c r="B22" s="11" t="n">
        <v>0.53</v>
      </c>
      <c r="C22" s="7" t="inlineStr">
        <is>
          <t>If required</t>
        </is>
      </c>
    </row>
    <row r="23">
      <c r="A23" s="5" t="inlineStr">
        <is>
          <t>NeSL submissions</t>
        </is>
      </c>
      <c r="B23" s="10" t="n">
        <v>1.03</v>
      </c>
      <c r="C23" s="5" t="inlineStr">
        <is>
          <t>If fresh submission required</t>
        </is>
      </c>
    </row>
    <row r="24">
      <c r="A24" s="7" t="inlineStr">
        <is>
          <t>Conditional registry actions</t>
        </is>
      </c>
      <c r="B24" s="11" t="n">
        <v>2.48</v>
      </c>
      <c r="C24" s="7" t="inlineStr">
        <is>
          <t>Premium only</t>
        </is>
      </c>
    </row>
    <row r="25">
      <c r="A25" s="5" t="inlineStr">
        <is>
          <t>Conditional assignment duty</t>
        </is>
      </c>
      <c r="B25" s="10" t="n">
        <v>5</v>
      </c>
      <c r="C25" s="5" t="inlineStr">
        <is>
          <t>Premium only</t>
        </is>
      </c>
    </row>
    <row r="26">
      <c r="A26" s="7" t="inlineStr">
        <is>
          <t>One RTO action per vehicle</t>
        </is>
      </c>
      <c r="B26" s="11" t="n">
        <v>4.125</v>
      </c>
      <c r="C26" s="7" t="inlineStr">
        <is>
          <t>Premium only if legally required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Width="1"/>
  <headerFooter>
    <oddHeader/>
    <oddFooter>&amp;CAssureRail — decision model — 16 September 2026&amp;RPage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0" customWidth="1" min="4" max="4"/>
    <col width="17" customWidth="1" min="5" max="5"/>
    <col width="14" customWidth="1" min="6" max="6"/>
    <col width="19" customWidth="1" min="7" max="7"/>
    <col width="14" customWidth="1" min="8" max="8"/>
    <col width="21" customWidth="1" min="9" max="9"/>
    <col width="27" customWidth="1" min="10" max="10"/>
    <col width="29" customWidth="1" min="11" max="11"/>
  </cols>
  <sheetData>
    <row r="1" ht="30" customHeight="1">
      <c r="A1" s="1" t="inlineStr">
        <is>
          <t>Five-seller cohort scale sensitivity</t>
        </is>
      </c>
    </row>
    <row r="2" ht="30" customHeight="1">
      <c r="A2" s="2" t="inlineStr">
        <is>
          <t>Holds five ₹8-lakh fixed-stage minima and the modelled external scope constant to isolate consideration scale. Edit yellow inputs.</t>
        </is>
      </c>
    </row>
    <row r="3">
      <c r="A3" s="8" t="inlineStr">
        <is>
          <t>Seller count</t>
        </is>
      </c>
      <c r="B3" s="18" t="n">
        <v>5</v>
      </c>
    </row>
    <row r="4">
      <c r="A4" s="8" t="inlineStr">
        <is>
          <t>Fixed fee per seller (₹L)</t>
        </is>
      </c>
      <c r="B4" s="18" t="n">
        <v>8</v>
      </c>
    </row>
    <row r="5">
      <c r="A5" s="8" t="inlineStr">
        <is>
          <t>Base external costs (₹L)</t>
        </is>
      </c>
      <c r="B5" s="18" t="n">
        <v>16.71</v>
      </c>
    </row>
    <row r="6">
      <c r="A6" s="8" t="inlineStr">
        <is>
          <t>Premium external costs (₹L)</t>
        </is>
      </c>
      <c r="B6" s="18" t="n">
        <v>24.19</v>
      </c>
    </row>
    <row r="7">
      <c r="A7" s="8" t="inlineStr">
        <is>
          <t>Comparator rate</t>
        </is>
      </c>
      <c r="B7" s="19" t="n">
        <v>0.015</v>
      </c>
    </row>
    <row r="9" ht="34" customHeight="1">
      <c r="A9" s="3" t="inlineStr">
        <is>
          <t>Cohort consideration (₹cr)</t>
        </is>
      </c>
      <c r="B9" s="3" t="inlineStr">
        <is>
          <t>Execution fee (₹L)</t>
        </is>
      </c>
      <c r="C9" s="3" t="inlineStr">
        <is>
          <t>Fixed stages (₹L)</t>
        </is>
      </c>
      <c r="D9" s="3" t="inlineStr">
        <is>
          <t>AssureRail total (₹L)</t>
        </is>
      </c>
      <c r="E9" s="3" t="inlineStr">
        <is>
          <t>Base total (₹L)</t>
        </is>
      </c>
      <c r="F9" s="3" t="inlineStr">
        <is>
          <t>Base %</t>
        </is>
      </c>
      <c r="G9" s="3" t="inlineStr">
        <is>
          <t>Premium total (₹L)</t>
        </is>
      </c>
      <c r="H9" s="3" t="inlineStr">
        <is>
          <t>Premium %</t>
        </is>
      </c>
      <c r="I9" s="3" t="inlineStr">
        <is>
          <t>1.5% comparator (₹L)</t>
        </is>
      </c>
      <c r="J9" s="3" t="inlineStr">
        <is>
          <t>Base variance to comparator (₹L)</t>
        </is>
      </c>
      <c r="K9" s="3" t="inlineStr">
        <is>
          <t>Premium variance to comparator (₹L)</t>
        </is>
      </c>
    </row>
    <row r="10">
      <c r="A10" s="11" t="n">
        <v>25</v>
      </c>
      <c r="B10" s="11">
        <f>MAX(5,MIN(A10,25)*40/100+MAX(A10-25,0)*30/100)</f>
        <v/>
      </c>
      <c r="C10" s="11">
        <f>$B$3*$B$4</f>
        <v/>
      </c>
      <c r="D10" s="11">
        <f>B10+C10</f>
        <v/>
      </c>
      <c r="E10" s="11">
        <f>D10+$B$5</f>
        <v/>
      </c>
      <c r="F10" s="16">
        <f>E10/(A10*100)</f>
        <v/>
      </c>
      <c r="G10" s="11">
        <f>D10+$B$6</f>
        <v/>
      </c>
      <c r="H10" s="16">
        <f>G10/(A10*100)</f>
        <v/>
      </c>
      <c r="I10" s="11">
        <f>A10*100*$B$7</f>
        <v/>
      </c>
      <c r="J10" s="11">
        <f>E10-I10</f>
        <v/>
      </c>
      <c r="K10" s="11">
        <f>G10-I10</f>
        <v/>
      </c>
    </row>
    <row r="11">
      <c r="A11" s="10" t="n">
        <v>30</v>
      </c>
      <c r="B11" s="10">
        <f>MAX(5,MIN(A11,25)*40/100+MAX(A11-25,0)*30/100)</f>
        <v/>
      </c>
      <c r="C11" s="10">
        <f>$B$3*$B$4</f>
        <v/>
      </c>
      <c r="D11" s="10">
        <f>B11+C11</f>
        <v/>
      </c>
      <c r="E11" s="10">
        <f>D11+$B$5</f>
        <v/>
      </c>
      <c r="F11" s="14">
        <f>E11/(A11*100)</f>
        <v/>
      </c>
      <c r="G11" s="10">
        <f>D11+$B$6</f>
        <v/>
      </c>
      <c r="H11" s="14">
        <f>G11/(A11*100)</f>
        <v/>
      </c>
      <c r="I11" s="10">
        <f>A11*100*$B$7</f>
        <v/>
      </c>
      <c r="J11" s="10">
        <f>E11-I11</f>
        <v/>
      </c>
      <c r="K11" s="10">
        <f>G11-I11</f>
        <v/>
      </c>
    </row>
    <row r="12">
      <c r="A12" s="11" t="n">
        <v>40</v>
      </c>
      <c r="B12" s="11">
        <f>MAX(5,MIN(A12,25)*40/100+MAX(A12-25,0)*30/100)</f>
        <v/>
      </c>
      <c r="C12" s="11">
        <f>$B$3*$B$4</f>
        <v/>
      </c>
      <c r="D12" s="11">
        <f>B12+C12</f>
        <v/>
      </c>
      <c r="E12" s="11">
        <f>D12+$B$5</f>
        <v/>
      </c>
      <c r="F12" s="16">
        <f>E12/(A12*100)</f>
        <v/>
      </c>
      <c r="G12" s="11">
        <f>D12+$B$6</f>
        <v/>
      </c>
      <c r="H12" s="16">
        <f>G12/(A12*100)</f>
        <v/>
      </c>
      <c r="I12" s="11">
        <f>A12*100*$B$7</f>
        <v/>
      </c>
      <c r="J12" s="11">
        <f>E12-I12</f>
        <v/>
      </c>
      <c r="K12" s="11">
        <f>G12-I12</f>
        <v/>
      </c>
    </row>
    <row r="13">
      <c r="A13" s="10" t="n">
        <v>50</v>
      </c>
      <c r="B13" s="10">
        <f>MAX(5,MIN(A13,25)*40/100+MAX(A13-25,0)*30/100)</f>
        <v/>
      </c>
      <c r="C13" s="10">
        <f>$B$3*$B$4</f>
        <v/>
      </c>
      <c r="D13" s="10">
        <f>B13+C13</f>
        <v/>
      </c>
      <c r="E13" s="10">
        <f>D13+$B$5</f>
        <v/>
      </c>
      <c r="F13" s="14">
        <f>E13/(A13*100)</f>
        <v/>
      </c>
      <c r="G13" s="10">
        <f>D13+$B$6</f>
        <v/>
      </c>
      <c r="H13" s="14">
        <f>G13/(A13*100)</f>
        <v/>
      </c>
      <c r="I13" s="10">
        <f>A13*100*$B$7</f>
        <v/>
      </c>
      <c r="J13" s="10">
        <f>E13-I13</f>
        <v/>
      </c>
      <c r="K13" s="10">
        <f>G13-I13</f>
        <v/>
      </c>
    </row>
    <row r="14">
      <c r="A14" s="11" t="n">
        <v>55</v>
      </c>
      <c r="B14" s="11">
        <f>MAX(5,MIN(A14,25)*40/100+MAX(A14-25,0)*30/100)</f>
        <v/>
      </c>
      <c r="C14" s="11">
        <f>$B$3*$B$4</f>
        <v/>
      </c>
      <c r="D14" s="11">
        <f>B14+C14</f>
        <v/>
      </c>
      <c r="E14" s="11">
        <f>D14+$B$5</f>
        <v/>
      </c>
      <c r="F14" s="16">
        <f>E14/(A14*100)</f>
        <v/>
      </c>
      <c r="G14" s="11">
        <f>D14+$B$6</f>
        <v/>
      </c>
      <c r="H14" s="16">
        <f>G14/(A14*100)</f>
        <v/>
      </c>
      <c r="I14" s="11">
        <f>A14*100*$B$7</f>
        <v/>
      </c>
      <c r="J14" s="11">
        <f>E14-I14</f>
        <v/>
      </c>
      <c r="K14" s="11">
        <f>G14-I14</f>
        <v/>
      </c>
    </row>
    <row r="15">
      <c r="A15" s="10" t="n">
        <v>60</v>
      </c>
      <c r="B15" s="10">
        <f>MAX(5,MIN(A15,25)*40/100+MAX(A15-25,0)*30/100)</f>
        <v/>
      </c>
      <c r="C15" s="10">
        <f>$B$3*$B$4</f>
        <v/>
      </c>
      <c r="D15" s="10">
        <f>B15+C15</f>
        <v/>
      </c>
      <c r="E15" s="10">
        <f>D15+$B$5</f>
        <v/>
      </c>
      <c r="F15" s="14">
        <f>E15/(A15*100)</f>
        <v/>
      </c>
      <c r="G15" s="10">
        <f>D15+$B$6</f>
        <v/>
      </c>
      <c r="H15" s="14">
        <f>G15/(A15*100)</f>
        <v/>
      </c>
      <c r="I15" s="10">
        <f>A15*100*$B$7</f>
        <v/>
      </c>
      <c r="J15" s="10">
        <f>E15-I15</f>
        <v/>
      </c>
      <c r="K15" s="10">
        <f>G15-I15</f>
        <v/>
      </c>
    </row>
    <row r="16">
      <c r="A16" s="11" t="n">
        <v>75</v>
      </c>
      <c r="B16" s="11">
        <f>MAX(5,MIN(A16,25)*40/100+MAX(A16-25,0)*30/100)</f>
        <v/>
      </c>
      <c r="C16" s="11">
        <f>$B$3*$B$4</f>
        <v/>
      </c>
      <c r="D16" s="11">
        <f>B16+C16</f>
        <v/>
      </c>
      <c r="E16" s="11">
        <f>D16+$B$5</f>
        <v/>
      </c>
      <c r="F16" s="16">
        <f>E16/(A16*100)</f>
        <v/>
      </c>
      <c r="G16" s="11">
        <f>D16+$B$6</f>
        <v/>
      </c>
      <c r="H16" s="16">
        <f>G16/(A16*100)</f>
        <v/>
      </c>
      <c r="I16" s="11">
        <f>A16*100*$B$7</f>
        <v/>
      </c>
      <c r="J16" s="11">
        <f>E16-I16</f>
        <v/>
      </c>
      <c r="K16" s="11">
        <f>G16-I16</f>
        <v/>
      </c>
    </row>
    <row r="17">
      <c r="A17" s="10" t="n">
        <v>100</v>
      </c>
      <c r="B17" s="10">
        <f>MAX(5,MIN(A17,25)*40/100+MAX(A17-25,0)*30/100)</f>
        <v/>
      </c>
      <c r="C17" s="10">
        <f>$B$3*$B$4</f>
        <v/>
      </c>
      <c r="D17" s="10">
        <f>B17+C17</f>
        <v/>
      </c>
      <c r="E17" s="10">
        <f>D17+$B$5</f>
        <v/>
      </c>
      <c r="F17" s="14">
        <f>E17/(A17*100)</f>
        <v/>
      </c>
      <c r="G17" s="10">
        <f>D17+$B$6</f>
        <v/>
      </c>
      <c r="H17" s="14">
        <f>G17/(A17*100)</f>
        <v/>
      </c>
      <c r="I17" s="10">
        <f>A17*100*$B$7</f>
        <v/>
      </c>
      <c r="J17" s="10">
        <f>E17-I17</f>
        <v/>
      </c>
      <c r="K17" s="10">
        <f>G17-I17</f>
        <v/>
      </c>
    </row>
    <row r="18">
      <c r="A18" s="11" t="n">
        <v>150</v>
      </c>
      <c r="B18" s="11">
        <f>MAX(5,MIN(A18,25)*40/100+MAX(A18-25,0)*30/100)</f>
        <v/>
      </c>
      <c r="C18" s="11">
        <f>$B$3*$B$4</f>
        <v/>
      </c>
      <c r="D18" s="11">
        <f>B18+C18</f>
        <v/>
      </c>
      <c r="E18" s="11">
        <f>D18+$B$5</f>
        <v/>
      </c>
      <c r="F18" s="16">
        <f>E18/(A18*100)</f>
        <v/>
      </c>
      <c r="G18" s="11">
        <f>D18+$B$6</f>
        <v/>
      </c>
      <c r="H18" s="16">
        <f>G18/(A18*100)</f>
        <v/>
      </c>
      <c r="I18" s="11">
        <f>A18*100*$B$7</f>
        <v/>
      </c>
      <c r="J18" s="11">
        <f>E18-I18</f>
        <v/>
      </c>
      <c r="K18" s="11">
        <f>G18-I18</f>
        <v/>
      </c>
    </row>
    <row r="19">
      <c r="A19" s="10" t="n">
        <v>200</v>
      </c>
      <c r="B19" s="10">
        <f>MAX(5,MIN(A19,25)*40/100+MAX(A19-25,0)*30/100)</f>
        <v/>
      </c>
      <c r="C19" s="10">
        <f>$B$3*$B$4</f>
        <v/>
      </c>
      <c r="D19" s="10">
        <f>B19+C19</f>
        <v/>
      </c>
      <c r="E19" s="10">
        <f>D19+$B$5</f>
        <v/>
      </c>
      <c r="F19" s="14">
        <f>E19/(A19*100)</f>
        <v/>
      </c>
      <c r="G19" s="10">
        <f>D19+$B$6</f>
        <v/>
      </c>
      <c r="H19" s="14">
        <f>G19/(A19*100)</f>
        <v/>
      </c>
      <c r="I19" s="10">
        <f>A19*100*$B$7</f>
        <v/>
      </c>
      <c r="J19" s="10">
        <f>E19-I19</f>
        <v/>
      </c>
      <c r="K19" s="10">
        <f>G19-I19</f>
        <v/>
      </c>
    </row>
    <row r="20">
      <c r="A20" s="11" t="n">
        <v>300</v>
      </c>
      <c r="B20" s="11">
        <f>MAX(5,MIN(A20,25)*40/100+MAX(A20-25,0)*30/100)</f>
        <v/>
      </c>
      <c r="C20" s="11">
        <f>$B$3*$B$4</f>
        <v/>
      </c>
      <c r="D20" s="11">
        <f>B20+C20</f>
        <v/>
      </c>
      <c r="E20" s="11">
        <f>D20+$B$5</f>
        <v/>
      </c>
      <c r="F20" s="16">
        <f>E20/(A20*100)</f>
        <v/>
      </c>
      <c r="G20" s="11">
        <f>D20+$B$6</f>
        <v/>
      </c>
      <c r="H20" s="16">
        <f>G20/(A20*100)</f>
        <v/>
      </c>
      <c r="I20" s="11">
        <f>A20*100*$B$7</f>
        <v/>
      </c>
      <c r="J20" s="11">
        <f>E20-I20</f>
        <v/>
      </c>
      <c r="K20" s="11">
        <f>G20-I20</f>
        <v/>
      </c>
    </row>
  </sheetData>
  <autoFilter ref="A9:K20"/>
  <mergeCells count="2">
    <mergeCell ref="A1:J1"/>
    <mergeCell ref="A2:J2"/>
  </mergeCells>
  <pageMargins left="0.75" right="0.75" top="1" bottom="1" header="0.5" footer="0.5"/>
  <pageSetup orientation="landscape" fitToWidth="1"/>
  <headerFooter>
    <oddHeader/>
    <oddFooter>&amp;CAssureRail — decision model — 16 September 2026&amp;RPage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8" customWidth="1" min="3" max="3"/>
    <col width="28" customWidth="1" min="4" max="4"/>
    <col width="31" customWidth="1" min="5" max="5"/>
    <col width="65" customWidth="1" min="6" max="6"/>
  </cols>
  <sheetData>
    <row r="1" ht="30" customHeight="1">
      <c r="A1" s="1" t="inlineStr">
        <is>
          <t>Day-one liquidity by funding route</t>
        </is>
      </c>
    </row>
    <row r="2" ht="30" customHeight="1">
      <c r="A2" s="2" t="inlineStr">
        <is>
          <t>Illustrative pre-GST comparison. Debt release is a repayment of existing borrowing, not a transaction cost or economic profit.</t>
        </is>
      </c>
    </row>
    <row r="3" ht="34" customHeight="1">
      <c r="A3" s="3" t="inlineStr">
        <is>
          <t>Comparison input</t>
        </is>
      </c>
      <c r="B3" s="3" t="inlineStr">
        <is>
          <t>Value</t>
        </is>
      </c>
    </row>
    <row r="4">
      <c r="A4" s="6" t="inlineStr">
        <is>
          <t>Pool principal (₹cr)</t>
        </is>
      </c>
      <c r="B4" s="11" t="n">
        <v>55</v>
      </c>
    </row>
    <row r="5">
      <c r="A5" s="4" t="inlineStr">
        <is>
          <t>Existing debt release (₹cr)</t>
        </is>
      </c>
      <c r="B5" s="13" t="n">
        <v>35.75</v>
      </c>
    </row>
    <row r="6">
      <c r="A6" s="6" t="inlineStr">
        <is>
          <t>Discounted DA price per ₹1</t>
        </is>
      </c>
      <c r="B6" s="16" t="n">
        <v>0.99</v>
      </c>
    </row>
    <row r="7">
      <c r="A7" s="4" t="inlineStr">
        <is>
          <t>PTC MRR</t>
        </is>
      </c>
      <c r="B7" s="20" t="n">
        <v>0.1</v>
      </c>
    </row>
    <row r="8">
      <c r="A8" s="6" t="inlineStr">
        <is>
          <t>PTC transaction cost</t>
        </is>
      </c>
      <c r="B8" s="16" t="n">
        <v>0.0125</v>
      </c>
    </row>
    <row r="9">
      <c r="A9" s="4" t="inlineStr">
        <is>
          <t>PTC cash enhancement</t>
        </is>
      </c>
      <c r="B9" s="20" t="n">
        <v>0.05</v>
      </c>
    </row>
    <row r="10">
      <c r="A10" s="6" t="inlineStr">
        <is>
          <t>Warehouse advance rate</t>
        </is>
      </c>
      <c r="B10" s="16" t="n">
        <v>0.8</v>
      </c>
    </row>
    <row r="11">
      <c r="A11" s="4" t="inlineStr">
        <is>
          <t>Warehouse setup cost on funding</t>
        </is>
      </c>
      <c r="B11" s="20" t="n">
        <v>0.01</v>
      </c>
    </row>
    <row r="12">
      <c r="A12" s="6" t="inlineStr">
        <is>
          <t>Other DA all-inclusive comparator</t>
        </is>
      </c>
      <c r="B12" s="16" t="n">
        <v>0.015</v>
      </c>
    </row>
    <row r="15" ht="34" customHeight="1">
      <c r="A15" s="3" t="inlineStr">
        <is>
          <t>Route</t>
        </is>
      </c>
      <c r="B15" s="3" t="inlineStr">
        <is>
          <t>Gross cash / funding (₹cr)</t>
        </is>
      </c>
      <c r="C15" s="3" t="inlineStr">
        <is>
          <t>Upfront cost or support (₹cr)</t>
        </is>
      </c>
      <c r="D15" s="3" t="inlineStr">
        <is>
          <t>Net before debt release (₹cr)</t>
        </is>
      </c>
      <c r="E15" s="3" t="inlineStr">
        <is>
          <t>Residual cash after debt release (₹cr)</t>
        </is>
      </c>
      <c r="F15" s="3" t="inlineStr">
        <is>
          <t>Continuing economics</t>
        </is>
      </c>
    </row>
    <row r="16">
      <c r="A16" s="7" t="inlineStr">
        <is>
          <t>DA Base at par</t>
        </is>
      </c>
      <c r="B16" s="17">
        <f>B4</f>
        <v/>
      </c>
      <c r="C16" s="17">
        <f>'55Cr Cohort'!H5/100</f>
        <v/>
      </c>
      <c r="D16" s="17">
        <f>B16-C16</f>
        <v/>
      </c>
      <c r="E16" s="17">
        <f>D16-$B$5</f>
        <v/>
      </c>
      <c r="F16" s="7" t="inlineStr">
        <is>
          <t>Sold share has no funding liability; seller gives up future spread</t>
        </is>
      </c>
    </row>
    <row r="17">
      <c r="A17" s="5" t="inlineStr">
        <is>
          <t>DA Premium at par</t>
        </is>
      </c>
      <c r="B17" s="15">
        <f>B4</f>
        <v/>
      </c>
      <c r="C17" s="15">
        <f>'55Cr Cohort'!H6/100</f>
        <v/>
      </c>
      <c r="D17" s="15">
        <f>B17-C17</f>
        <v/>
      </c>
      <c r="E17" s="15">
        <f>D17-$B$5</f>
        <v/>
      </c>
      <c r="F17" s="5" t="inlineStr">
        <is>
          <t>Adds conditional registry and duty allowances</t>
        </is>
      </c>
    </row>
    <row r="18">
      <c r="A18" s="7" t="inlineStr">
        <is>
          <t>DA Premium + one RTO action</t>
        </is>
      </c>
      <c r="B18" s="17">
        <f>B4</f>
        <v/>
      </c>
      <c r="C18" s="17">
        <f>'55Cr Cohort'!H7/100</f>
        <v/>
      </c>
      <c r="D18" s="17">
        <f>B18-C18</f>
        <v/>
      </c>
      <c r="E18" s="17">
        <f>D18-$B$5</f>
        <v/>
      </c>
      <c r="F18" s="7" t="inlineStr">
        <is>
          <t>Adds one modelled ₹100 RTO action per vehicle</t>
        </is>
      </c>
    </row>
    <row r="19">
      <c r="A19" s="5" t="inlineStr">
        <is>
          <t>DA Base at ₹99</t>
        </is>
      </c>
      <c r="B19" s="15">
        <f>B4*B6</f>
        <v/>
      </c>
      <c r="C19" s="15">
        <f>('55Cr Cohort'!B13+MAX(5,MIN(B4*B6,25)*40/100+MAX(B4*B6-25,0)*30/100)+SUM('55Cr Cohort'!B19:B23))/100</f>
        <v/>
      </c>
      <c r="D19" s="15">
        <f>B19-C19</f>
        <v/>
      </c>
      <c r="E19" s="15">
        <f>D19-$B$5</f>
        <v/>
      </c>
      <c r="F19" s="5" t="inlineStr">
        <is>
          <t>One price point reduces gross proceeds by ₹55L; execution fee adjusts slightly</t>
        </is>
      </c>
    </row>
    <row r="20">
      <c r="A20" s="7" t="inlineStr">
        <is>
          <t>Other DA at assumed all-in 1.5%</t>
        </is>
      </c>
      <c r="B20" s="17">
        <f>B4</f>
        <v/>
      </c>
      <c r="C20" s="17">
        <f>B4*B12</f>
        <v/>
      </c>
      <c r="D20" s="17">
        <f>B20-C20</f>
        <v/>
      </c>
      <c r="E20" s="17">
        <f>D20-$B$5</f>
        <v/>
      </c>
      <c r="F20" s="7" t="inlineStr">
        <is>
          <t>Comparable only if 1.5% includes every external and platform item</t>
        </is>
      </c>
    </row>
    <row r="21">
      <c r="A21" s="5" t="inlineStr">
        <is>
          <t>PTC with 10% MRR</t>
        </is>
      </c>
      <c r="B21" s="15">
        <f>B4*(1-B7)</f>
        <v/>
      </c>
      <c r="C21" s="15">
        <f>B4*B8</f>
        <v/>
      </c>
      <c r="D21" s="15">
        <f>B21-C21</f>
        <v/>
      </c>
      <c r="E21" s="15">
        <f>D21-$B$5</f>
        <v/>
      </c>
      <c r="F21" s="5" t="inlineStr">
        <is>
          <t>Retained exposure and waterfall economics continue</t>
        </is>
      </c>
    </row>
    <row r="22">
      <c r="A22" s="7" t="inlineStr">
        <is>
          <t>PTC plus 5% cash enhancement</t>
        </is>
      </c>
      <c r="B22" s="17">
        <f>B4*(1-B7)</f>
        <v/>
      </c>
      <c r="C22" s="17">
        <f>B4*B8+B4*B9</f>
        <v/>
      </c>
      <c r="D22" s="17">
        <f>B22-C22</f>
        <v/>
      </c>
      <c r="E22" s="17">
        <f>D22-$B$5</f>
        <v/>
      </c>
      <c r="F22" s="7" t="inlineStr">
        <is>
          <t>Retained exposure and cash support remain at risk</t>
        </is>
      </c>
    </row>
    <row r="23">
      <c r="A23" s="5" t="inlineStr">
        <is>
          <t>80% warehouse / term refinance</t>
        </is>
      </c>
      <c r="B23" s="15">
        <f>B4*B10</f>
        <v/>
      </c>
      <c r="C23" s="15">
        <f>B4*B10*B11</f>
        <v/>
      </c>
      <c r="D23" s="15">
        <f>B23-C23</f>
        <v/>
      </c>
      <c r="E23" s="15">
        <f>D23-$B$5</f>
        <v/>
      </c>
      <c r="F23" s="5" t="inlineStr">
        <is>
          <t>Debt remains; annual interest at 8–11% is additional</t>
        </is>
      </c>
    </row>
    <row r="24">
      <c r="A24" s="7" t="inlineStr">
        <is>
          <t>Co-lending for new production</t>
        </is>
      </c>
      <c r="B24" s="17" t="n"/>
      <c r="C24" s="17" t="n"/>
      <c r="D24" s="17" t="inlineStr">
        <is>
          <t>Not comparable</t>
        </is>
      </c>
      <c r="E24" s="17" t="inlineStr">
        <is>
          <t>—</t>
        </is>
      </c>
      <c r="F24" s="7" t="inlineStr">
        <is>
          <t>Ex-ante future-origination route; not a sale of this seasoned pool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Width="1"/>
  <headerFooter>
    <oddHeader/>
    <oddFooter>&amp;CAssureRail — decision model — 16 September 2026&amp;RPage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2026-09-16T04:43:23Z</dcterms:created>
  <dcterms:modified xmlns:dcterms="http://purl.org/dc/terms/" xmlns:xsi="http://www.w3.org/2001/XMLSchema-instance" xsi:type="dcterms:W3CDTF">2026-09-16T04:43:23Z</dcterms:modified>
</cp:coreProperties>
</file>