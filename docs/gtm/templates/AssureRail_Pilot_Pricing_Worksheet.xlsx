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Builder" sheetId="1" state="visible" r:id="rId1"/>
    <sheet xmlns:r="http://schemas.openxmlformats.org/officeDocument/2006/relationships" name="Rate Governance" sheetId="2" state="visible" r:id="rId2"/>
    <sheet xmlns:r="http://schemas.openxmlformats.org/officeDocument/2006/relationships" name="Approval Gate" sheetId="3" state="visible" r:id="rId3"/>
  </sheets>
  <definedNames>
    <definedName name="_xlnm._FilterDatabase" localSheetId="0" hidden="1">'Quote Builder'!$A$30:$F$40</definedName>
    <definedName name="_xlnm.Print_Area" localSheetId="0">'Quote Builder'!$A$1:$F$40</definedName>
    <definedName name="_xlnm._FilterDatabase" localSheetId="1" hidden="1">'Rate Governance'!$A$4:$F$12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 &quot;bps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D6B73"/>
      <sz val="10"/>
    </font>
    <font>
      <name val="Arial"/>
      <b val="1"/>
      <color rgb="00FFFFFF"/>
      <sz val="11"/>
    </font>
    <font>
      <name val="Arial"/>
      <color rgb="000E2836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E2836"/>
      </patternFill>
    </fill>
    <fill>
      <patternFill patternType="solid">
        <fgColor rgb="00157A63"/>
      </patternFill>
    </fill>
    <fill>
      <patternFill patternType="solid">
        <fgColor rgb="00DDF3EC"/>
      </patternFill>
    </fill>
    <fill>
      <patternFill patternType="solid">
        <fgColor rgb="00F4F7F8"/>
      </patternFill>
    </fill>
    <fill>
      <patternFill patternType="solid">
        <fgColor rgb="00F7E8BD"/>
      </patternFill>
    </fill>
  </fills>
  <borders count="2">
    <border>
      <left/>
      <right/>
      <top/>
      <bottom/>
      <diagonal/>
    </border>
    <border>
      <bottom style="thin">
        <color rgb="00CF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top" wrapText="1"/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vertical="top" wrapText="1"/>
      <protection locked="0" hidden="0"/>
    </xf>
    <xf numFmtId="164" fontId="4" fillId="4" borderId="1" applyAlignment="1" applyProtection="1" pivotButton="0" quotePrefix="0" xfId="0">
      <alignment vertical="top" wrapText="1"/>
      <protection locked="0" hidden="0"/>
    </xf>
    <xf numFmtId="165" fontId="4" fillId="4" borderId="1" applyAlignment="1" applyProtection="1" pivotButton="0" quotePrefix="0" xfId="0">
      <alignment vertical="top" wrapText="1"/>
      <protection locked="0" hidden="0"/>
    </xf>
    <xf numFmtId="164" fontId="4" fillId="5" borderId="1" applyAlignment="1" applyProtection="1" pivotButton="0" quotePrefix="0" xfId="0">
      <alignment vertical="top" wrapText="1"/>
      <protection locked="0" hidden="0"/>
    </xf>
    <xf numFmtId="10" fontId="4" fillId="4" borderId="1" applyAlignment="1" applyProtection="1" pivotButton="0" quotePrefix="0" xfId="0">
      <alignment vertical="top" wrapText="1"/>
      <protection locked="0" hidden="0"/>
    </xf>
    <xf numFmtId="0" fontId="4" fillId="6" borderId="1" applyAlignment="1" applyProtection="1" pivotButton="0" quotePrefix="0" xfId="0">
      <alignment vertical="top" wrapText="1"/>
      <protection locked="0" hidden="0"/>
    </xf>
    <xf numFmtId="0" fontId="5" fillId="3" borderId="0" applyProtection="1" pivotButton="0" quotePrefix="0" xfId="0">
      <protection locked="0" hidden="0"/>
    </xf>
  </cellXfs>
  <cellStyles count="1">
    <cellStyle name="Normal" xfId="0" builtinId="0" hidden="0"/>
  </cellStyles>
  <dxfs count="2">
    <dxf>
      <fill>
        <patternFill patternType="solid">
          <fgColor rgb="00F7D7D7"/>
        </patternFill>
      </fill>
    </dxf>
    <dxf>
      <fill>
        <patternFill patternType="solid">
          <fgColor rgb="00DDF3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8" customWidth="1" min="3" max="3"/>
    <col width="24" customWidth="1" min="4" max="4"/>
    <col width="22" customWidth="1" min="5" max="5"/>
    <col width="18" customWidth="1" min="6" max="6"/>
  </cols>
  <sheetData>
    <row r="1" ht="34" customHeight="1">
      <c r="A1" s="1" t="inlineStr">
        <is>
          <t>AssureRail pilot pricing worksheet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CONFIDENTIAL DRAFT · Version 1.0 · 7 September 2026 · not a quote until approved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23" customHeight="1">
      <c r="A4" s="4" t="inlineStr">
        <is>
          <t>Engagement and approval</t>
        </is>
      </c>
      <c r="B4" s="2" t="n"/>
      <c r="C4" s="2" t="n"/>
      <c r="D4" s="2" t="n"/>
      <c r="E4" s="2" t="n"/>
      <c r="F4" s="2" t="n"/>
    </row>
    <row r="5">
      <c r="A5" s="5" t="inlineStr">
        <is>
          <t>Customer legal name</t>
        </is>
      </c>
      <c r="B5" s="6" t="inlineStr"/>
      <c r="C5" s="5" t="inlineStr">
        <is>
          <t>Input</t>
        </is>
      </c>
      <c r="D5" s="5" t="inlineStr">
        <is>
          <t>Required</t>
        </is>
      </c>
      <c r="E5" s="5" t="n"/>
      <c r="F5" s="5" t="n"/>
    </row>
    <row r="6">
      <c r="A6" s="5" t="inlineStr">
        <is>
          <t>AssureRail contracting entity</t>
        </is>
      </c>
      <c r="B6" s="6" t="inlineStr"/>
      <c r="C6" s="5" t="inlineStr">
        <is>
          <t>Input</t>
        </is>
      </c>
      <c r="D6" s="5" t="inlineStr">
        <is>
          <t>Must exist and be authorised before signature</t>
        </is>
      </c>
      <c r="E6" s="5" t="n"/>
      <c r="F6" s="5" t="n"/>
    </row>
    <row r="7">
      <c r="A7" s="5" t="inlineStr">
        <is>
          <t>Engagement mode</t>
        </is>
      </c>
      <c r="B7" s="6" t="inlineStr">
        <is>
          <t>REPLAY</t>
        </is>
      </c>
      <c r="C7" s="5" t="inlineStr">
        <is>
          <t>Input</t>
        </is>
      </c>
      <c r="D7" s="5" t="inlineStr">
        <is>
          <t>DEMONSTRATION / REPLAY / SHADOW / CONTROLLED_LIVE</t>
        </is>
      </c>
      <c r="E7" s="5" t="n"/>
      <c r="F7" s="5" t="n"/>
    </row>
    <row r="8">
      <c r="A8" s="5" t="inlineStr">
        <is>
          <t>Route</t>
        </is>
      </c>
      <c r="B8" s="6" t="inlineStr">
        <is>
          <t>PTC</t>
        </is>
      </c>
      <c r="C8" s="5" t="inlineStr">
        <is>
          <t>Input</t>
        </is>
      </c>
      <c r="D8" s="5" t="inlineStr">
        <is>
          <t>DA / PTC / BOTH</t>
        </is>
      </c>
      <c r="E8" s="5" t="n"/>
      <c r="F8" s="5" t="n"/>
    </row>
    <row r="9">
      <c r="A9" s="5" t="inlineStr">
        <is>
          <t>Representation</t>
        </is>
      </c>
      <c r="B9" s="6" t="inlineStr">
        <is>
          <t>CONVENTIONAL</t>
        </is>
      </c>
      <c r="C9" s="5" t="inlineStr">
        <is>
          <t>Input</t>
        </is>
      </c>
      <c r="D9" s="5" t="inlineStr">
        <is>
          <t>CONVENTIONAL / TOKENISED</t>
        </is>
      </c>
      <c r="E9" s="5" t="n"/>
      <c r="F9" s="5" t="n"/>
    </row>
    <row r="10">
      <c r="A10" s="5" t="inlineStr">
        <is>
          <t>Commercial owner</t>
        </is>
      </c>
      <c r="B10" s="6" t="inlineStr"/>
      <c r="C10" s="5" t="inlineStr">
        <is>
          <t>Input</t>
        </is>
      </c>
      <c r="D10" s="5" t="inlineStr">
        <is>
          <t>Named approver</t>
        </is>
      </c>
      <c r="E10" s="5" t="n"/>
      <c r="F10" s="5" t="n"/>
    </row>
    <row r="11">
      <c r="A11" s="5" t="inlineStr">
        <is>
          <t>Approval date</t>
        </is>
      </c>
      <c r="B11" s="6" t="inlineStr"/>
      <c r="C11" s="5" t="inlineStr">
        <is>
          <t>Input</t>
        </is>
      </c>
      <c r="D11" s="5" t="inlineStr">
        <is>
          <t>Required before external use</t>
        </is>
      </c>
      <c r="E11" s="5" t="n"/>
      <c r="F11" s="5" t="n"/>
    </row>
    <row r="12">
      <c r="A12" s="5" t="inlineStr">
        <is>
          <t>Quote valid until</t>
        </is>
      </c>
      <c r="B12" s="6" t="inlineStr"/>
      <c r="C12" s="5" t="inlineStr">
        <is>
          <t>Input</t>
        </is>
      </c>
      <c r="D12" s="5" t="inlineStr">
        <is>
          <t>Required before external use</t>
        </is>
      </c>
      <c r="E12" s="5" t="n"/>
      <c r="F12" s="5" t="n"/>
    </row>
    <row r="13">
      <c r="A13" s="2" t="n"/>
      <c r="B13" s="2" t="n"/>
      <c r="C13" s="2" t="n"/>
      <c r="D13" s="2" t="n"/>
      <c r="E13" s="2" t="n"/>
      <c r="F13" s="2" t="n"/>
    </row>
    <row r="14" ht="23" customHeight="1">
      <c r="A14" s="4" t="inlineStr">
        <is>
          <t>Fee inputs and exact calculation</t>
        </is>
      </c>
      <c r="B14" s="2" t="n"/>
      <c r="C14" s="2" t="n"/>
      <c r="D14" s="2" t="n"/>
      <c r="E14" s="2" t="n"/>
      <c r="F14" s="2" t="n"/>
    </row>
    <row r="15">
      <c r="A15" s="5" t="inlineStr">
        <is>
          <t>Defined transaction fee base (INR)</t>
        </is>
      </c>
      <c r="B15" s="7" t="n">
        <v>0</v>
      </c>
      <c r="C15" s="5" t="inlineStr">
        <is>
          <t>Input</t>
        </is>
      </c>
      <c r="D15" s="5" t="inlineStr">
        <is>
          <t>Define inclusions and exclusions in words in the order form</t>
        </is>
      </c>
      <c r="E15" s="5" t="n"/>
      <c r="F15" s="5" t="n"/>
    </row>
    <row r="16">
      <c r="A16" s="5" t="inlineStr">
        <is>
          <t>Platform rate (bps)</t>
        </is>
      </c>
      <c r="B16" s="8">
        <f>IF(AND(B7="CONTROLLED_LIVE",B8="PTC",B9="CONVENTIONAL"),30,IF(AND(B7="CONTROLLED_LIVE",B8="PTC",B9="TOKENISED"),50,0))</f>
        <v/>
      </c>
      <c r="C16" s="5" t="inlineStr">
        <is>
          <t>Formula / override</t>
        </is>
      </c>
      <c r="D16" s="5" t="inlineStr">
        <is>
          <t>Replay/shadow default to zero variable fee; 30/50 bps applies only to a separately approved controlled-live PTC quote</t>
        </is>
      </c>
      <c r="E16" s="5" t="n"/>
      <c r="F16" s="5" t="n"/>
    </row>
    <row r="17">
      <c r="A17" s="5" t="inlineStr">
        <is>
          <t>Fixed discovery/replay fee (INR)</t>
        </is>
      </c>
      <c r="B17" s="7" t="n">
        <v>0</v>
      </c>
      <c r="C17" s="5" t="inlineStr">
        <is>
          <t>Input</t>
        </is>
      </c>
      <c r="D17" s="5" t="inlineStr">
        <is>
          <t>Prospect-specific; zero does not imply waiver</t>
        </is>
      </c>
      <c r="E17" s="5" t="n"/>
      <c r="F17" s="5" t="n"/>
    </row>
    <row r="18">
      <c r="A18" s="5" t="inlineStr">
        <is>
          <t>Implementation/integration fee (INR)</t>
        </is>
      </c>
      <c r="B18" s="7" t="n">
        <v>0</v>
      </c>
      <c r="C18" s="5" t="inlineStr">
        <is>
          <t>Input</t>
        </is>
      </c>
      <c r="D18" s="5" t="inlineStr">
        <is>
          <t>Scope, milestones and change control required</t>
        </is>
      </c>
      <c r="E18" s="5" t="n"/>
      <c r="F18" s="5" t="n"/>
    </row>
    <row r="19">
      <c r="A19" s="5" t="inlineStr">
        <is>
          <t>Lifecycle/monitoring fee (INR)</t>
        </is>
      </c>
      <c r="B19" s="7" t="n">
        <v>0</v>
      </c>
      <c r="C19" s="5" t="inlineStr">
        <is>
          <t>Input</t>
        </is>
      </c>
      <c r="D19" s="5" t="inlineStr">
        <is>
          <t>State period, coverage and service level</t>
        </is>
      </c>
      <c r="E19" s="5" t="n"/>
      <c r="F19" s="5" t="n"/>
    </row>
    <row r="20">
      <c r="A20" s="5" t="inlineStr">
        <is>
          <t>Third-party charges (INR)</t>
        </is>
      </c>
      <c r="B20" s="7" t="n">
        <v>0</v>
      </c>
      <c r="C20" s="5" t="inlineStr">
        <is>
          <t>Input</t>
        </is>
      </c>
      <c r="D20" s="5" t="inlineStr">
        <is>
          <t>State provider and pass-through/markup treatment</t>
        </is>
      </c>
      <c r="E20" s="5" t="n"/>
      <c r="F20" s="5" t="n"/>
    </row>
    <row r="21">
      <c r="A21" s="5" t="inlineStr">
        <is>
          <t>Minimum platform fee (INR)</t>
        </is>
      </c>
      <c r="B21" s="7" t="n">
        <v>0</v>
      </c>
      <c r="C21" s="5" t="inlineStr">
        <is>
          <t>Input</t>
        </is>
      </c>
      <c r="D21" s="5" t="inlineStr">
        <is>
          <t>Zero means no minimum in this calculation</t>
        </is>
      </c>
      <c r="E21" s="5" t="n"/>
      <c r="F21" s="5" t="n"/>
    </row>
    <row r="22">
      <c r="A22" s="5" t="inlineStr">
        <is>
          <t>Maximum platform fee (INR)</t>
        </is>
      </c>
      <c r="B22" s="7" t="n">
        <v>0</v>
      </c>
      <c r="C22" s="5" t="inlineStr">
        <is>
          <t>Input</t>
        </is>
      </c>
      <c r="D22" s="5" t="inlineStr">
        <is>
          <t>Zero means no cap in this calculation</t>
        </is>
      </c>
      <c r="E22" s="5" t="n"/>
      <c r="F22" s="5" t="n"/>
    </row>
    <row r="23">
      <c r="A23" s="5" t="inlineStr">
        <is>
          <t>Calculated variable fee (INR)</t>
        </is>
      </c>
      <c r="B23" s="9">
        <f>ROUND(B15*B16/10000,2)</f>
        <v/>
      </c>
      <c r="C23" s="5" t="inlineStr">
        <is>
          <t>Formula</t>
        </is>
      </c>
      <c r="D23" s="5" t="inlineStr">
        <is>
          <t>Exact bps calculation</t>
        </is>
      </c>
      <c r="E23" s="5" t="n"/>
      <c r="F23" s="5" t="n"/>
    </row>
    <row r="24">
      <c r="A24" s="5" t="inlineStr">
        <is>
          <t>Platform fee after minimum/cap (INR)</t>
        </is>
      </c>
      <c r="B24" s="9">
        <f>ROUND(MIN(IF(B22&gt;0,B22,1E+30),MAX(B21,B23)),2)</f>
        <v/>
      </c>
      <c r="C24" s="5" t="inlineStr">
        <is>
          <t>Formula</t>
        </is>
      </c>
      <c r="D24" s="5" t="inlineStr">
        <is>
          <t>Minimum and cap apply only if entered</t>
        </is>
      </c>
      <c r="E24" s="5" t="n"/>
      <c r="F24" s="5" t="n"/>
    </row>
    <row r="25">
      <c r="A25" s="5" t="inlineStr">
        <is>
          <t>Subtotal before tax (INR)</t>
        </is>
      </c>
      <c r="B25" s="9">
        <f>ROUND(SUM(B17:B20)+B24,2)</f>
        <v/>
      </c>
      <c r="C25" s="5" t="inlineStr">
        <is>
          <t>Formula</t>
        </is>
      </c>
      <c r="D25" s="5" t="inlineStr">
        <is>
          <t>Excludes GST and other statutory levies</t>
        </is>
      </c>
      <c r="E25" s="5" t="n"/>
      <c r="F25" s="5" t="n"/>
    </row>
    <row r="26">
      <c r="A26" s="5" t="inlineStr">
        <is>
          <t>GST rate</t>
        </is>
      </c>
      <c r="B26" s="10" t="n">
        <v>0.18</v>
      </c>
      <c r="C26" s="5" t="inlineStr">
        <is>
          <t>Input</t>
        </is>
      </c>
      <c r="D26" s="5" t="inlineStr">
        <is>
          <t>Confirm applicable tax treatment</t>
        </is>
      </c>
      <c r="E26" s="5" t="n"/>
      <c r="F26" s="5" t="n"/>
    </row>
    <row r="27">
      <c r="A27" s="5" t="inlineStr">
        <is>
          <t>GST amount (INR)</t>
        </is>
      </c>
      <c r="B27" s="9">
        <f>ROUND(B25*B26,2)</f>
        <v/>
      </c>
      <c r="C27" s="5" t="inlineStr">
        <is>
          <t>Formula</t>
        </is>
      </c>
      <c r="D27" s="5" t="inlineStr">
        <is>
          <t>Illustrative pending tax review</t>
        </is>
      </c>
      <c r="E27" s="5" t="n"/>
      <c r="F27" s="5" t="n"/>
    </row>
    <row r="28">
      <c r="A28" s="5" t="inlineStr">
        <is>
          <t>Total invoice illustration (INR)</t>
        </is>
      </c>
      <c r="B28" s="9">
        <f>ROUND(B25+B27,2)</f>
        <v/>
      </c>
      <c r="C28" s="5" t="inlineStr">
        <is>
          <t>Formula</t>
        </is>
      </c>
      <c r="D28" s="5" t="inlineStr">
        <is>
          <t>Not an invoice or revenue-recognition conclusion</t>
        </is>
      </c>
      <c r="E28" s="5" t="n"/>
      <c r="F28" s="5" t="n"/>
    </row>
    <row r="29">
      <c r="A29" s="2" t="n"/>
      <c r="B29" s="2" t="n"/>
      <c r="C29" s="2" t="n"/>
      <c r="D29" s="2" t="n"/>
      <c r="E29" s="2" t="n"/>
      <c r="F29" s="2" t="n"/>
    </row>
    <row r="30" ht="23" customHeight="1">
      <c r="A30" s="4" t="inlineStr">
        <is>
          <t>Commercial terms — must be completed</t>
        </is>
      </c>
      <c r="B30" s="2" t="n"/>
      <c r="C30" s="2" t="n"/>
      <c r="D30" s="2" t="n"/>
      <c r="E30" s="2" t="n"/>
      <c r="F30" s="2" t="n"/>
    </row>
    <row r="31">
      <c r="A31" s="5" t="inlineStr">
        <is>
          <t>Fee-base definition</t>
        </is>
      </c>
      <c r="B31" s="6" t="inlineStr"/>
      <c r="C31" s="5" t="n"/>
      <c r="D31" s="5" t="n"/>
      <c r="E31" s="5" t="n"/>
      <c r="F31" s="11" t="inlineStr">
        <is>
          <t>OPEN</t>
        </is>
      </c>
    </row>
    <row r="32">
      <c r="A32" s="5" t="inlineStr">
        <is>
          <t>Earned/billing trigger</t>
        </is>
      </c>
      <c r="B32" s="6" t="inlineStr"/>
      <c r="C32" s="5" t="n"/>
      <c r="D32" s="5" t="n"/>
      <c r="E32" s="5" t="n"/>
      <c r="F32" s="11" t="inlineStr">
        <is>
          <t>OPEN</t>
        </is>
      </c>
    </row>
    <row r="33">
      <c r="A33" s="5" t="inlineStr">
        <is>
          <t>Minimum and cap operation</t>
        </is>
      </c>
      <c r="B33" s="6" t="inlineStr"/>
      <c r="C33" s="5" t="n"/>
      <c r="D33" s="5" t="n"/>
      <c r="E33" s="5" t="n"/>
      <c r="F33" s="11" t="inlineStr">
        <is>
          <t>OPEN</t>
        </is>
      </c>
    </row>
    <row r="34">
      <c r="A34" s="5" t="inlineStr">
        <is>
          <t>Cancellation/failure/reversal/refund treatment</t>
        </is>
      </c>
      <c r="B34" s="6" t="inlineStr"/>
      <c r="C34" s="5" t="n"/>
      <c r="D34" s="5" t="n"/>
      <c r="E34" s="5" t="n"/>
      <c r="F34" s="11" t="inlineStr">
        <is>
          <t>OPEN</t>
        </is>
      </c>
    </row>
    <row r="35">
      <c r="A35" s="5" t="inlineStr">
        <is>
          <t>Invoice timing and payment days</t>
        </is>
      </c>
      <c r="B35" s="6" t="inlineStr"/>
      <c r="C35" s="5" t="n"/>
      <c r="D35" s="5" t="n"/>
      <c r="E35" s="5" t="n"/>
      <c r="F35" s="11" t="inlineStr">
        <is>
          <t>OPEN</t>
        </is>
      </c>
    </row>
    <row r="36">
      <c r="A36" s="5" t="inlineStr">
        <is>
          <t>Third-party charges and taxes</t>
        </is>
      </c>
      <c r="B36" s="6" t="inlineStr"/>
      <c r="C36" s="5" t="n"/>
      <c r="D36" s="5" t="n"/>
      <c r="E36" s="5" t="n"/>
      <c r="F36" s="11" t="inlineStr">
        <is>
          <t>OPEN</t>
        </is>
      </c>
    </row>
    <row r="37">
      <c r="A37" s="5" t="inlineStr">
        <is>
          <t>Discount approval and expiry</t>
        </is>
      </c>
      <c r="B37" s="6" t="inlineStr"/>
      <c r="C37" s="5" t="n"/>
      <c r="D37" s="5" t="n"/>
      <c r="E37" s="5" t="n"/>
      <c r="F37" s="11" t="inlineStr">
        <is>
          <t>OPEN</t>
        </is>
      </c>
    </row>
    <row r="38">
      <c r="A38" s="5" t="inlineStr">
        <is>
          <t>Change-control rate</t>
        </is>
      </c>
      <c r="B38" s="6" t="inlineStr"/>
      <c r="C38" s="5" t="n"/>
      <c r="D38" s="5" t="n"/>
      <c r="E38" s="5" t="n"/>
      <c r="F38" s="11" t="inlineStr">
        <is>
          <t>OPEN</t>
        </is>
      </c>
    </row>
    <row r="39">
      <c r="A39" s="5" t="inlineStr">
        <is>
          <t>Assurance-provider fee stated separately</t>
        </is>
      </c>
      <c r="B39" s="6" t="inlineStr"/>
      <c r="C39" s="5" t="n"/>
      <c r="D39" s="5" t="n"/>
      <c r="E39" s="5" t="n"/>
      <c r="F39" s="11" t="inlineStr">
        <is>
          <t>OPEN</t>
        </is>
      </c>
    </row>
    <row r="40">
      <c r="A40" s="5" t="inlineStr">
        <is>
          <t>Contract and SOW version reference</t>
        </is>
      </c>
      <c r="B40" s="6" t="inlineStr"/>
      <c r="C40" s="5" t="n"/>
      <c r="D40" s="5" t="n"/>
      <c r="E40" s="5" t="n"/>
      <c r="F40" s="11" t="inlineStr">
        <is>
          <t>OPEN</t>
        </is>
      </c>
    </row>
  </sheetData>
  <autoFilter ref="A30:F40"/>
  <mergeCells count="37">
    <mergeCell ref="B40:E40"/>
    <mergeCell ref="D11:F11"/>
    <mergeCell ref="D27:F27"/>
    <mergeCell ref="B37:E37"/>
    <mergeCell ref="B33:E33"/>
    <mergeCell ref="D17:F17"/>
    <mergeCell ref="D7:F7"/>
    <mergeCell ref="D16:F16"/>
    <mergeCell ref="B36:E36"/>
    <mergeCell ref="B32:E32"/>
    <mergeCell ref="A2:F2"/>
    <mergeCell ref="D28:F28"/>
    <mergeCell ref="B35:E35"/>
    <mergeCell ref="A14:F14"/>
    <mergeCell ref="D12:F12"/>
    <mergeCell ref="D18:F18"/>
    <mergeCell ref="D9:F9"/>
    <mergeCell ref="A4:F4"/>
    <mergeCell ref="D8:F8"/>
    <mergeCell ref="D25:F25"/>
    <mergeCell ref="D15:F15"/>
    <mergeCell ref="D24:F24"/>
    <mergeCell ref="B31:E31"/>
    <mergeCell ref="D5:F5"/>
    <mergeCell ref="D23:F23"/>
    <mergeCell ref="B39:E39"/>
    <mergeCell ref="D26:F26"/>
    <mergeCell ref="A30:F30"/>
    <mergeCell ref="D20:F20"/>
    <mergeCell ref="D10:F10"/>
    <mergeCell ref="D19:F19"/>
    <mergeCell ref="A1:F1"/>
    <mergeCell ref="D22:F22"/>
    <mergeCell ref="B38:E38"/>
    <mergeCell ref="B34:E34"/>
    <mergeCell ref="D21:F21"/>
    <mergeCell ref="D6:F6"/>
  </mergeCells>
  <conditionalFormatting sqref="B16">
    <cfRule type="cellIs" priority="1" operator="greaterThan" dxfId="0">
      <formula>50</formula>
    </cfRule>
  </conditionalFormatting>
  <dataValidations count="3">
    <dataValidation sqref="B7" showDropDown="0" showInputMessage="0" showErrorMessage="0" allowBlank="0" type="list">
      <formula1>"DEMONSTRATION,REPLAY,SHADOW,CONTROLLED_LIVE"</formula1>
    </dataValidation>
    <dataValidation sqref="B8" showDropDown="0" showInputMessage="0" showErrorMessage="0" allowBlank="0" type="list">
      <formula1>"DA,PTC,BOTH"</formula1>
    </dataValidation>
    <dataValidation sqref="B9" showDropDown="0" showInputMessage="0" showErrorMessage="0" allowBlank="0" type="list">
      <formula1>"CONVENTIONAL,TOKENISED"</formula1>
    </dataValidation>
  </dataValidations>
  <pageMargins left="0.75" right="0.75" top="1" bottom="1" header="0.5" footer="0.5"/>
  <pageSetup fitToHeight="2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8" customWidth="1" min="3" max="3"/>
    <col width="20" customWidth="1" min="4" max="4"/>
    <col width="24" customWidth="1" min="5" max="5"/>
    <col width="48" customWidth="1" min="6" max="6"/>
  </cols>
  <sheetData>
    <row r="1" ht="34" customHeight="1">
      <c r="A1" s="1" t="inlineStr">
        <is>
          <t>Rate governance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Planning assumptions and quotation boundaries — not public list prices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2" t="inlineStr">
        <is>
          <t>Service</t>
        </is>
      </c>
      <c r="B4" s="12" t="inlineStr">
        <is>
          <t>Mode</t>
        </is>
      </c>
      <c r="C4" s="12" t="inlineStr">
        <is>
          <t>Route</t>
        </is>
      </c>
      <c r="D4" s="12" t="inlineStr">
        <is>
          <t>Representation</t>
        </is>
      </c>
      <c r="E4" s="12" t="inlineStr">
        <is>
          <t>Planning basis</t>
        </is>
      </c>
      <c r="F4" s="12" t="inlineStr">
        <is>
          <t>Boundary</t>
        </is>
      </c>
    </row>
    <row r="5">
      <c r="A5" s="5" t="inlineStr">
        <is>
          <t>Discovery workshop</t>
        </is>
      </c>
      <c r="B5" s="5" t="inlineStr">
        <is>
          <t>Any</t>
        </is>
      </c>
      <c r="C5" s="5" t="inlineStr">
        <is>
          <t>Any</t>
        </is>
      </c>
      <c r="D5" s="5" t="inlineStr">
        <is>
          <t>Any</t>
        </is>
      </c>
      <c r="E5" s="5" t="inlineStr">
        <is>
          <t>Fixed / approval</t>
        </is>
      </c>
      <c r="F5" s="5" t="inlineStr">
        <is>
          <t>May be waived or credited only in writing</t>
        </is>
      </c>
    </row>
    <row r="6">
      <c r="A6" s="5" t="inlineStr">
        <is>
          <t>Completed-deal replay</t>
        </is>
      </c>
      <c r="B6" s="5" t="inlineStr">
        <is>
          <t>REPLAY</t>
        </is>
      </c>
      <c r="C6" s="5" t="inlineStr">
        <is>
          <t>DA or PTC</t>
        </is>
      </c>
      <c r="D6" s="5" t="inlineStr">
        <is>
          <t>CONVENTIONAL</t>
        </is>
      </c>
      <c r="E6" s="5" t="inlineStr">
        <is>
          <t>Fixed scoped fee</t>
        </is>
      </c>
      <c r="F6" s="5" t="inlineStr">
        <is>
          <t>Set after evidence-family and complexity review</t>
        </is>
      </c>
    </row>
    <row r="7">
      <c r="A7" s="5" t="inlineStr">
        <is>
          <t>Shadow evaluation</t>
        </is>
      </c>
      <c r="B7" s="5" t="inlineStr">
        <is>
          <t>SHADOW</t>
        </is>
      </c>
      <c r="C7" s="5" t="inlineStr">
        <is>
          <t>DA or PTC</t>
        </is>
      </c>
      <c r="D7" s="5" t="inlineStr">
        <is>
          <t>CONVENTIONAL</t>
        </is>
      </c>
      <c r="E7" s="5" t="inlineStr">
        <is>
          <t>Fixed programme + integration</t>
        </is>
      </c>
      <c r="F7" s="5" t="inlineStr">
        <is>
          <t>No execution implication</t>
        </is>
      </c>
    </row>
    <row r="8">
      <c r="A8" s="5" t="inlineStr">
        <is>
          <t>Conventional DA</t>
        </is>
      </c>
      <c r="B8" s="5" t="inlineStr">
        <is>
          <t>Future controlled-live</t>
        </is>
      </c>
      <c r="C8" s="5" t="inlineStr">
        <is>
          <t>DA</t>
        </is>
      </c>
      <c r="D8" s="5" t="inlineStr">
        <is>
          <t>CONVENTIONAL</t>
        </is>
      </c>
      <c r="E8" s="5" t="inlineStr">
        <is>
          <t>TBD</t>
        </is>
      </c>
      <c r="F8" s="5" t="inlineStr">
        <is>
          <t>Do not infer PTC rate</t>
        </is>
      </c>
    </row>
    <row r="9">
      <c r="A9" s="5" t="inlineStr">
        <is>
          <t>Conventional PTC</t>
        </is>
      </c>
      <c r="B9" s="5" t="inlineStr">
        <is>
          <t>Future approved service</t>
        </is>
      </c>
      <c r="C9" s="5" t="inlineStr">
        <is>
          <t>PTC</t>
        </is>
      </c>
      <c r="D9" s="5" t="inlineStr">
        <is>
          <t>CONVENTIONAL</t>
        </is>
      </c>
      <c r="E9" s="5" t="inlineStr">
        <is>
          <t>30 bps</t>
        </is>
      </c>
      <c r="F9" s="5" t="inlineStr">
        <is>
          <t>Fee base, trigger, minimum/cap and refunds must be defined</t>
        </is>
      </c>
    </row>
    <row r="10">
      <c r="A10" s="5" t="inlineStr">
        <is>
          <t>Tokenised PTC</t>
        </is>
      </c>
      <c r="B10" s="5" t="inlineStr">
        <is>
          <t>Future separately gated</t>
        </is>
      </c>
      <c r="C10" s="5" t="inlineStr">
        <is>
          <t>PTC</t>
        </is>
      </c>
      <c r="D10" s="5" t="inlineStr">
        <is>
          <t>TOKENISED</t>
        </is>
      </c>
      <c r="E10" s="5" t="inlineStr">
        <is>
          <t>50 bps</t>
        </is>
      </c>
      <c r="F10" s="5" t="inlineStr">
        <is>
          <t>Not currently available; route/legal/operating gates apply</t>
        </is>
      </c>
    </row>
    <row r="11">
      <c r="A11" s="5" t="inlineStr">
        <is>
          <t>Lifecycle/monitoring</t>
        </is>
      </c>
      <c r="B11" s="5" t="inlineStr">
        <is>
          <t>By scope</t>
        </is>
      </c>
      <c r="C11" s="5" t="inlineStr">
        <is>
          <t>DA or PTC</t>
        </is>
      </c>
      <c r="D11" s="5" t="inlineStr">
        <is>
          <t>Any approved</t>
        </is>
      </c>
      <c r="E11" s="5" t="inlineStr">
        <is>
          <t>Annual/programme/case tier</t>
        </is>
      </c>
      <c r="F11" s="5" t="inlineStr">
        <is>
          <t>Define coverage, frequency and providers</t>
        </is>
      </c>
    </row>
    <row r="12">
      <c r="A12" s="5" t="inlineStr">
        <is>
          <t>Independent assurance</t>
        </is>
      </c>
      <c r="B12" s="5" t="inlineStr">
        <is>
          <t>Separate appointment</t>
        </is>
      </c>
      <c r="C12" s="5" t="inlineStr">
        <is>
          <t>Any</t>
        </is>
      </c>
      <c r="D12" s="5" t="inlineStr">
        <is>
          <t>Any</t>
        </is>
      </c>
      <c r="E12" s="5" t="inlineStr">
        <is>
          <t>Separate provider fee</t>
        </is>
      </c>
      <c r="F12" s="5" t="inlineStr">
        <is>
          <t>Never silently bundled or outcome-dependent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34" customWidth="1" min="4" max="4"/>
    <col width="20" customWidth="1" min="5" max="5"/>
    <col width="36" customWidth="1" min="6" max="6"/>
  </cols>
  <sheetData>
    <row r="1" ht="34" customHeight="1">
      <c r="A1" s="1" t="inlineStr">
        <is>
          <t>Proposal approval gate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Every mandatory row must be CLOSED before external use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2" t="inlineStr">
        <is>
          <t>Gate</t>
        </is>
      </c>
      <c r="B4" s="12" t="inlineStr">
        <is>
          <t>Owner</t>
        </is>
      </c>
      <c r="C4" s="12" t="inlineStr">
        <is>
          <t>Status</t>
        </is>
      </c>
      <c r="D4" s="12" t="inlineStr">
        <is>
          <t>Evidence/reference</t>
        </is>
      </c>
      <c r="E4" s="12" t="inlineStr">
        <is>
          <t>Checked at</t>
        </is>
      </c>
      <c r="F4" s="12" t="inlineStr">
        <is>
          <t>Notes</t>
        </is>
      </c>
    </row>
    <row r="5">
      <c r="A5" s="5" t="inlineStr">
        <is>
          <t>Contracting entity and signatory</t>
        </is>
      </c>
      <c r="B5" s="5" t="inlineStr">
        <is>
          <t>Legal/commercial</t>
        </is>
      </c>
      <c r="C5" s="11" t="inlineStr">
        <is>
          <t>OPEN</t>
        </is>
      </c>
      <c r="D5" s="5" t="n"/>
      <c r="E5" s="5" t="n"/>
      <c r="F5" s="5" t="n"/>
    </row>
    <row r="6">
      <c r="A6" s="5" t="inlineStr">
        <is>
          <t>Engagement mode and function boundary</t>
        </is>
      </c>
      <c r="B6" s="5" t="inlineStr">
        <is>
          <t>Product/legal</t>
        </is>
      </c>
      <c r="C6" s="11" t="inlineStr">
        <is>
          <t>OPEN</t>
        </is>
      </c>
      <c r="D6" s="5" t="n"/>
      <c r="E6" s="5" t="n"/>
      <c r="F6" s="5" t="n"/>
    </row>
    <row r="7">
      <c r="A7" s="5" t="inlineStr">
        <is>
          <t>Fee base and trigger</t>
        </is>
      </c>
      <c r="B7" s="5" t="inlineStr">
        <is>
          <t>Commercial</t>
        </is>
      </c>
      <c r="C7" s="11" t="inlineStr">
        <is>
          <t>OPEN</t>
        </is>
      </c>
      <c r="D7" s="5" t="n"/>
      <c r="E7" s="5" t="n"/>
      <c r="F7" s="5" t="n"/>
    </row>
    <row r="8">
      <c r="A8" s="5" t="inlineStr">
        <is>
          <t>Minimum/cap/refund treatment</t>
        </is>
      </c>
      <c r="B8" s="5" t="inlineStr">
        <is>
          <t>Commercial/finance</t>
        </is>
      </c>
      <c r="C8" s="11" t="inlineStr">
        <is>
          <t>OPEN</t>
        </is>
      </c>
      <c r="D8" s="5" t="n"/>
      <c r="E8" s="5" t="n"/>
      <c r="F8" s="5" t="n"/>
    </row>
    <row r="9">
      <c r="A9" s="5" t="inlineStr">
        <is>
          <t>Data purpose and authority</t>
        </is>
      </c>
      <c r="B9" s="5" t="inlineStr">
        <is>
          <t>Privacy/customer owner</t>
        </is>
      </c>
      <c r="C9" s="11" t="inlineStr">
        <is>
          <t>OPEN</t>
        </is>
      </c>
      <c r="D9" s="5" t="n"/>
      <c r="E9" s="5" t="n"/>
      <c r="F9" s="5" t="n"/>
    </row>
    <row r="10">
      <c r="A10" s="5" t="inlineStr">
        <is>
          <t>Security and environment scope</t>
        </is>
      </c>
      <c r="B10" s="5" t="inlineStr">
        <is>
          <t>Security/technical</t>
        </is>
      </c>
      <c r="C10" s="11" t="inlineStr">
        <is>
          <t>OPEN</t>
        </is>
      </c>
      <c r="D10" s="5" t="n"/>
      <c r="E10" s="5" t="n"/>
      <c r="F10" s="5" t="n"/>
    </row>
    <row r="11">
      <c r="A11" s="5" t="inlineStr">
        <is>
          <t>External provider charges and roles</t>
        </is>
      </c>
      <c r="B11" s="5" t="inlineStr">
        <is>
          <t>Operations/commercial</t>
        </is>
      </c>
      <c r="C11" s="11" t="inlineStr">
        <is>
          <t>OPEN</t>
        </is>
      </c>
      <c r="D11" s="5" t="n"/>
      <c r="E11" s="5" t="n"/>
      <c r="F11" s="5" t="n"/>
    </row>
    <row r="12">
      <c r="A12" s="5" t="inlineStr">
        <is>
          <t>Claims and availability wording</t>
        </is>
      </c>
      <c r="B12" s="5" t="inlineStr">
        <is>
          <t>Product/founder</t>
        </is>
      </c>
      <c r="C12" s="11" t="inlineStr">
        <is>
          <t>OPEN</t>
        </is>
      </c>
      <c r="D12" s="5" t="n"/>
      <c r="E12" s="5" t="n"/>
      <c r="F12" s="5" t="n"/>
    </row>
    <row r="13">
      <c r="A13" s="5" t="inlineStr">
        <is>
          <t>Tax review</t>
        </is>
      </c>
      <c r="B13" s="5" t="inlineStr">
        <is>
          <t>Finance/tax</t>
        </is>
      </c>
      <c r="C13" s="11" t="inlineStr">
        <is>
          <t>OPEN</t>
        </is>
      </c>
      <c r="D13" s="5" t="n"/>
      <c r="E13" s="5" t="n"/>
      <c r="F13" s="5" t="n"/>
    </row>
    <row r="14">
      <c r="A14" s="5" t="inlineStr">
        <is>
          <t>Agreement/SOW versions matched</t>
        </is>
      </c>
      <c r="B14" s="5" t="inlineStr">
        <is>
          <t>Legal/operations</t>
        </is>
      </c>
      <c r="C14" s="11" t="inlineStr">
        <is>
          <t>OPEN</t>
        </is>
      </c>
      <c r="D14" s="5" t="n"/>
      <c r="E14" s="5" t="n"/>
      <c r="F14" s="5" t="n"/>
    </row>
  </sheetData>
  <mergeCells count="2">
    <mergeCell ref="A2:F2"/>
    <mergeCell ref="A1:F1"/>
  </mergeCells>
  <conditionalFormatting sqref="C5:C14">
    <cfRule type="cellIs" priority="1" operator="equal" dxfId="1">
      <formula>"CLOSED"</formula>
    </cfRule>
  </conditionalFormatting>
  <dataValidations count="1">
    <dataValidation sqref="C5 C6 C7 C8 C9 C10 C11 C12 C13 C14" showDropDown="0" showInputMessage="0" showErrorMessage="0" allowBlank="0" type="list">
      <formula1>"OPEN,CLOSED,NOT_APPLICABLE"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AssureRail</dc:creator>
  <dc:title xmlns:dc="http://purl.org/dc/elements/1.1/">AssureRail Pilot Pricing Worksheet</dc:title>
  <dc:description xmlns:dc="http://purl.org/dc/elements/1.1/">Planning workbook; not a quote until the approval gate is closed.</dc:description>
  <dc:subject xmlns:dc="http://purl.org/dc/elements/1.1/">Confidential draft pricing and approval control</dc:subject>
  <dcterms:created xmlns:dcterms="http://purl.org/dc/terms/" xmlns:xsi="http://www.w3.org/2001/XMLSchema-instance" xsi:type="dcterms:W3CDTF">2026-09-07T17:06:50Z</dcterms:created>
  <dcterms:modified xmlns:dcterms="http://purl.org/dc/terms/" xmlns:xsi="http://www.w3.org/2001/XMLSchema-instance" xsi:type="dcterms:W3CDTF">2026-09-07T17:06:50Z</dcterms:modified>
</cp:coreProperties>
</file>